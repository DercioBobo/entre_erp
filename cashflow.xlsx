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10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ntretechlda.sharepoint.com/sites/ETManagement/Documentos Compartilhados/Finance/2026/"/>
    </mc:Choice>
  </mc:AlternateContent>
  <xr:revisionPtr revIDLastSave="3195" documentId="13_ncr:1_{0CD127D9-D4C4-4BFA-98ED-4C523FCC6DE9}" xr6:coauthVersionLast="47" xr6:coauthVersionMax="47" xr10:uidLastSave="{301C604F-DBB1-4503-A07F-9EFA46E26E5E}"/>
  <bookViews>
    <workbookView xWindow="-108" yWindow="-108" windowWidth="23256" windowHeight="12456" firstSheet="1" activeTab="8" xr2:uid="{00000000-000D-0000-FFFF-FFFF00000000}"/>
  </bookViews>
  <sheets>
    <sheet name="Janeiro" sheetId="1" r:id="rId1"/>
    <sheet name="Fevereiro" sheetId="2" r:id="rId2"/>
    <sheet name="Marco" sheetId="3" r:id="rId3"/>
    <sheet name="Abril" sheetId="4" r:id="rId4"/>
    <sheet name="Maio" sheetId="5" r:id="rId5"/>
    <sheet name="Junho" sheetId="7" r:id="rId6"/>
    <sheet name="Julho" sheetId="8" r:id="rId7"/>
    <sheet name="Agosto" sheetId="11" r:id="rId8"/>
    <sheet name="Setembroo" sheetId="13" r:id="rId9"/>
    <sheet name="Outubro" sheetId="12" r:id="rId10"/>
    <sheet name="Config" sheetId="6" state="hidden" r:id="rId11"/>
    <sheet name="Investimentos" sheetId="9" r:id="rId12"/>
  </sheets>
  <definedNames>
    <definedName name="_xlnm._FilterDatabase" localSheetId="0" hidden="1">Janeiro!$A$3:$H$20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3" l="1"/>
  <c r="B26" i="11"/>
  <c r="B18" i="13" l="1"/>
  <c r="E19" i="11"/>
  <c r="B5" i="12" l="1"/>
  <c r="B5" i="13"/>
  <c r="B5" i="11"/>
  <c r="E9" i="9"/>
  <c r="E24" i="11"/>
  <c r="B13" i="8"/>
  <c r="B12" i="13"/>
  <c r="E25" i="11" l="1"/>
  <c r="E23" i="11"/>
  <c r="E19" i="13"/>
  <c r="E9" i="8" l="1"/>
  <c r="E8" i="8"/>
  <c r="E5" i="9" l="1"/>
  <c r="E21" i="11"/>
  <c r="E25" i="8" l="1"/>
  <c r="E21" i="8"/>
  <c r="E24" i="8"/>
  <c r="E27" i="8"/>
  <c r="E26" i="8" l="1"/>
  <c r="I6" i="11"/>
  <c r="I7" i="11"/>
  <c r="I10" i="11" s="1"/>
  <c r="I14" i="11"/>
  <c r="B11" i="11"/>
  <c r="C32" i="13"/>
  <c r="C31" i="13"/>
  <c r="B31" i="13"/>
  <c r="C30" i="13"/>
  <c r="B30" i="13"/>
  <c r="E22" i="13"/>
  <c r="E21" i="13"/>
  <c r="E18" i="13"/>
  <c r="E15" i="13"/>
  <c r="E14" i="13"/>
  <c r="E13" i="13"/>
  <c r="E12" i="13"/>
  <c r="E11" i="13"/>
  <c r="E10" i="13"/>
  <c r="E9" i="13"/>
  <c r="E8" i="13"/>
  <c r="E7" i="13"/>
  <c r="E6" i="13"/>
  <c r="E5" i="13"/>
  <c r="B26" i="13"/>
  <c r="E4" i="13"/>
  <c r="C32" i="12"/>
  <c r="C31" i="12"/>
  <c r="B31" i="12"/>
  <c r="C30" i="12"/>
  <c r="B30" i="12"/>
  <c r="B33" i="12" s="1"/>
  <c r="B26" i="12"/>
  <c r="E22" i="12"/>
  <c r="E21" i="12"/>
  <c r="E19" i="12"/>
  <c r="E18" i="12"/>
  <c r="B18" i="12"/>
  <c r="E15" i="12"/>
  <c r="E14" i="12"/>
  <c r="E13" i="12"/>
  <c r="E12" i="12"/>
  <c r="E11" i="12"/>
  <c r="E10" i="12"/>
  <c r="E9" i="12"/>
  <c r="E8" i="12"/>
  <c r="E7" i="12"/>
  <c r="E6" i="12"/>
  <c r="E5" i="12"/>
  <c r="B32" i="12"/>
  <c r="E4" i="12"/>
  <c r="C35" i="11"/>
  <c r="C34" i="11"/>
  <c r="B34" i="11"/>
  <c r="C33" i="11"/>
  <c r="B33" i="11"/>
  <c r="E22" i="11"/>
  <c r="E18" i="11"/>
  <c r="E15" i="11"/>
  <c r="E14" i="11"/>
  <c r="E13" i="11"/>
  <c r="E12" i="11"/>
  <c r="E11" i="11"/>
  <c r="E10" i="11"/>
  <c r="E9" i="11"/>
  <c r="E8" i="11"/>
  <c r="E7" i="11"/>
  <c r="E6" i="11"/>
  <c r="E5" i="11"/>
  <c r="B35" i="11"/>
  <c r="E4" i="11"/>
  <c r="I15" i="8"/>
  <c r="B36" i="8"/>
  <c r="C35" i="8"/>
  <c r="B35" i="8"/>
  <c r="E20" i="8"/>
  <c r="E19" i="8"/>
  <c r="E16" i="8"/>
  <c r="E15" i="8"/>
  <c r="E14" i="8"/>
  <c r="E13" i="8"/>
  <c r="E12" i="8"/>
  <c r="E11" i="8"/>
  <c r="E10" i="8"/>
  <c r="I7" i="8"/>
  <c r="I11" i="8" s="1"/>
  <c r="E7" i="8"/>
  <c r="I6" i="8"/>
  <c r="E6" i="8"/>
  <c r="B5" i="8"/>
  <c r="B37" i="8" s="1"/>
  <c r="E4" i="8"/>
  <c r="E18" i="7"/>
  <c r="E19" i="7"/>
  <c r="C37" i="8" l="1"/>
  <c r="C36" i="8"/>
  <c r="E5" i="8"/>
  <c r="B30" i="8" s="1"/>
  <c r="B32" i="13"/>
  <c r="B29" i="11"/>
  <c r="B31" i="8"/>
  <c r="B25" i="12"/>
  <c r="B24" i="12" s="1"/>
  <c r="B25" i="13"/>
  <c r="B24" i="13" s="1"/>
  <c r="B28" i="11"/>
  <c r="B33" i="13"/>
  <c r="B36" i="11"/>
  <c r="B38" i="8"/>
  <c r="B27" i="11" l="1"/>
  <c r="B29" i="8"/>
  <c r="B8" i="9"/>
  <c r="B7" i="9"/>
  <c r="E22" i="7" l="1"/>
  <c r="E11" i="7"/>
  <c r="E12" i="7"/>
  <c r="E13" i="7"/>
  <c r="E14" i="7"/>
  <c r="E15" i="7"/>
  <c r="E9" i="7"/>
  <c r="E10" i="7"/>
  <c r="C20" i="9" l="1"/>
  <c r="C19" i="9"/>
  <c r="B19" i="9"/>
  <c r="C18" i="9"/>
  <c r="B18" i="9"/>
  <c r="E10" i="9"/>
  <c r="E8" i="9"/>
  <c r="E7" i="9"/>
  <c r="E6" i="9"/>
  <c r="B6" i="9"/>
  <c r="E4" i="9"/>
  <c r="B12" i="5"/>
  <c r="B9" i="5"/>
  <c r="B17" i="4"/>
  <c r="B10" i="5"/>
  <c r="B13" i="9" l="1"/>
  <c r="B14" i="9"/>
  <c r="B20" i="9"/>
  <c r="B21" i="9"/>
  <c r="B12" i="9" l="1"/>
  <c r="J14" i="7"/>
  <c r="C31" i="7"/>
  <c r="B31" i="7"/>
  <c r="C30" i="7"/>
  <c r="B30" i="7"/>
  <c r="E21" i="7"/>
  <c r="J7" i="7"/>
  <c r="J10" i="7" s="1"/>
  <c r="E7" i="7"/>
  <c r="J6" i="7"/>
  <c r="E6" i="7"/>
  <c r="B5" i="7"/>
  <c r="E5" i="7" s="1"/>
  <c r="E4" i="7"/>
  <c r="C32" i="7" l="1"/>
  <c r="B32" i="7"/>
  <c r="B33" i="7"/>
  <c r="B26" i="7"/>
  <c r="B25" i="7"/>
  <c r="B24" i="7" l="1"/>
  <c r="B16" i="4"/>
  <c r="J13" i="5"/>
  <c r="H38" i="5" l="1"/>
  <c r="H39" i="5" s="1"/>
  <c r="H36" i="5"/>
  <c r="H37" i="5" s="1"/>
  <c r="B30" i="5"/>
  <c r="C29" i="5"/>
  <c r="B29" i="5"/>
  <c r="E21" i="5"/>
  <c r="E20" i="5"/>
  <c r="E19" i="5"/>
  <c r="E18" i="5"/>
  <c r="E17" i="5"/>
  <c r="E16" i="5"/>
  <c r="B15" i="5"/>
  <c r="E15" i="5" s="1"/>
  <c r="E14" i="5"/>
  <c r="E12" i="5"/>
  <c r="E11" i="5"/>
  <c r="E10" i="5"/>
  <c r="E9" i="5"/>
  <c r="E8" i="5"/>
  <c r="J7" i="5"/>
  <c r="J9" i="5" s="1"/>
  <c r="E7" i="5"/>
  <c r="J6" i="5"/>
  <c r="E6" i="5"/>
  <c r="B5" i="5"/>
  <c r="B31" i="5" s="1"/>
  <c r="E4" i="5"/>
  <c r="E22" i="4"/>
  <c r="B25" i="4"/>
  <c r="E5" i="5" l="1"/>
  <c r="B24" i="5" s="1"/>
  <c r="B25" i="5"/>
  <c r="C31" i="5"/>
  <c r="C30" i="5"/>
  <c r="B32" i="5"/>
  <c r="B23" i="5" l="1"/>
  <c r="E20" i="4"/>
  <c r="E21" i="4"/>
  <c r="E24" i="4"/>
  <c r="E23" i="4"/>
  <c r="E26" i="4"/>
  <c r="E19" i="4"/>
  <c r="B20" i="3"/>
  <c r="J13" i="4"/>
  <c r="B16" i="3" l="1"/>
  <c r="C35" i="4" l="1"/>
  <c r="B34" i="4"/>
  <c r="C33" i="4"/>
  <c r="B33" i="4"/>
  <c r="E25" i="4"/>
  <c r="E18" i="4"/>
  <c r="E17" i="4"/>
  <c r="E16" i="4"/>
  <c r="E15" i="4"/>
  <c r="E14" i="4"/>
  <c r="E12" i="4"/>
  <c r="E11" i="4"/>
  <c r="E10" i="4"/>
  <c r="E9" i="4"/>
  <c r="E8" i="4"/>
  <c r="J7" i="4"/>
  <c r="J10" i="4" s="1"/>
  <c r="E7" i="4"/>
  <c r="J6" i="4"/>
  <c r="E6" i="4"/>
  <c r="B5" i="4"/>
  <c r="C34" i="4" s="1"/>
  <c r="E4" i="4"/>
  <c r="E18" i="3"/>
  <c r="E5" i="4" l="1"/>
  <c r="B28" i="4" s="1"/>
  <c r="B35" i="4"/>
  <c r="B29" i="4"/>
  <c r="B36" i="4"/>
  <c r="E8" i="3"/>
  <c r="B27" i="4" l="1"/>
  <c r="B19" i="3"/>
  <c r="E19" i="3" s="1"/>
  <c r="E20" i="3"/>
  <c r="E23" i="2" l="1"/>
  <c r="E10" i="2" l="1"/>
  <c r="E4" i="2"/>
  <c r="B5" i="2"/>
  <c r="E5" i="2"/>
  <c r="E6" i="2"/>
  <c r="E7" i="2"/>
  <c r="E8" i="2"/>
  <c r="E9" i="2"/>
  <c r="E11" i="2"/>
  <c r="E12" i="2"/>
  <c r="E13" i="2"/>
  <c r="E15" i="2"/>
  <c r="B16" i="2"/>
  <c r="E16" i="2" s="1"/>
  <c r="B17" i="2"/>
  <c r="E17" i="2" s="1"/>
  <c r="E18" i="2"/>
  <c r="E19" i="2"/>
  <c r="E20" i="2"/>
  <c r="E21" i="2"/>
  <c r="E22" i="2"/>
  <c r="E24" i="2"/>
  <c r="E25" i="2"/>
  <c r="B5" i="3"/>
  <c r="E5" i="3" s="1"/>
  <c r="J14" i="3"/>
  <c r="E4" i="3"/>
  <c r="E6" i="3"/>
  <c r="J6" i="3"/>
  <c r="E7" i="3"/>
  <c r="J7" i="3"/>
  <c r="J10" i="3" s="1"/>
  <c r="E9" i="3"/>
  <c r="E10" i="3"/>
  <c r="E11" i="3"/>
  <c r="E12" i="3"/>
  <c r="E13" i="3"/>
  <c r="E15" i="3"/>
  <c r="E16" i="3"/>
  <c r="E17" i="3"/>
  <c r="B27" i="3"/>
  <c r="C27" i="3"/>
  <c r="B28" i="3"/>
  <c r="C28" i="3"/>
  <c r="C29" i="3" l="1"/>
  <c r="B29" i="3"/>
  <c r="B30" i="3"/>
  <c r="B22" i="3"/>
  <c r="B23" i="3"/>
  <c r="E8" i="1"/>
  <c r="E4" i="1"/>
  <c r="E5" i="1"/>
  <c r="E6" i="1"/>
  <c r="E7" i="1"/>
  <c r="E9" i="1"/>
  <c r="E10" i="1"/>
  <c r="E11" i="1"/>
  <c r="E12" i="1"/>
  <c r="C26" i="1"/>
  <c r="E14" i="1"/>
  <c r="E16" i="1"/>
  <c r="E17" i="1"/>
  <c r="C25" i="1"/>
  <c r="J14" i="2"/>
  <c r="B32" i="2"/>
  <c r="C32" i="2"/>
  <c r="C33" i="2"/>
  <c r="C34" i="2"/>
  <c r="J6" i="2"/>
  <c r="J7" i="2"/>
  <c r="J9" i="2" s="1"/>
  <c r="B33" i="2"/>
  <c r="B15" i="1"/>
  <c r="E15" i="1" s="1"/>
  <c r="B21" i="3" l="1"/>
  <c r="B34" i="2"/>
  <c r="B28" i="2"/>
  <c r="B35" i="2"/>
  <c r="B27" i="2"/>
  <c r="B26" i="2" l="1"/>
  <c r="B26" i="1"/>
  <c r="B25" i="1"/>
  <c r="B18" i="1"/>
  <c r="B21" i="1" s="1"/>
  <c r="B27" i="1" l="1"/>
  <c r="E18" i="1"/>
  <c r="B20" i="1" s="1"/>
  <c r="B19" i="1" s="1"/>
  <c r="C27" i="1"/>
  <c r="B28" i="1"/>
  <c r="J7" i="1"/>
  <c r="J10" i="1" s="1"/>
  <c r="J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tc={CCA250AE-ECF7-4DA7-A728-1955C10DBEA8}</author>
    <author>tc={2C202AB5-419C-4022-BEED-D6868A83262D}</author>
  </authors>
  <commentList>
    <comment ref="B4" authorId="0" shapeId="0" xr:uid="{CCA250AE-ECF7-4DA7-A728-1955C10DBEA8}">
      <text>
        <t>[Threaded comment]
Your version of Excel allows you to read this threaded comment; however, any edits to it will get removed if the file is opened in a newer version of Excel. Learn more: https://go.microsoft.com/fwlink/?linkid=870924
Comment:
    O valor aumentou devido a nova contratação</t>
      </text>
    </comment>
    <comment ref="B17" authorId="1" shapeId="0" xr:uid="{2C202AB5-419C-4022-BEED-D6868A83262D}">
      <text>
        <t>[Threaded comment]
Your version of Excel allows you to read this threaded comment; however, any edits to it will get removed if the file is opened in a newer version of Excel. Learn more: https://go.microsoft.com/fwlink/?linkid=870924
Comment:
    2000 mts para Aristides
5000mts para Hidelgio
3000mts para Jonas
2000mts para Edmilson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tc={8E5B0787-171B-4062-8BAB-DCF00B6D2386}</author>
  </authors>
  <commentList>
    <comment ref="B4" authorId="0" shapeId="0" xr:uid="{8E5B0787-171B-4062-8BAB-DCF00B6D2386}">
      <text>
        <t>[Threaded comment]
Your version of Excel allows you to read this threaded comment; however, any edits to it will get removed if the file is opened in a newer version of Excel. Learn more: https://go.microsoft.com/fwlink/?linkid=870924
Comment:
    Salario minimo subiu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tc={F2FD9DEB-7E0E-4B05-9973-FF3BDBC0155F}</author>
    <author>tc={EA1A5510-621A-4A62-880C-4DD35DBE9408}</author>
  </authors>
  <commentList>
    <comment ref="B4" authorId="0" shapeId="0" xr:uid="{F2FD9DEB-7E0E-4B05-9973-FF3BDBC0155F}">
      <text>
        <t>[Threaded comment]
Your version of Excel allows you to read this threaded comment; however, any edits to it will get removed if the file is opened in a newer version of Excel. Learn more: https://go.microsoft.com/fwlink/?linkid=870924
Comment:
    Salario minimo subiu</t>
      </text>
    </comment>
    <comment ref="A21" authorId="1" shapeId="0" xr:uid="{EA1A5510-621A-4A62-880C-4DD35DBE9408}">
      <text>
        <t>[Threaded comment]
Your version of Excel allows you to read this threaded comment; however, any edits to it will get removed if the file is opened in a newer version of Excel. Learn more: https://go.microsoft.com/fwlink/?linkid=870924
Comment:
    @Claudia Machava  peço que aloques no proximo mes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tc={B8519FFB-289A-4628-BE4C-2CF5C01F1B78}</author>
    <author>tc={C757096E-A408-46F3-B6C7-83BA83CFCD9C}</author>
  </authors>
  <commentList>
    <comment ref="B4" authorId="0" shapeId="0" xr:uid="{B8519FFB-289A-4628-BE4C-2CF5C01F1B78}">
      <text>
        <t>[Threaded comment]
Your version of Excel allows you to read this threaded comment; however, any edits to it will get removed if the file is opened in a newer version of Excel. Learn more: https://go.microsoft.com/fwlink/?linkid=870924
Comment:
    Salario minimo subiu</t>
      </text>
    </comment>
    <comment ref="A19" authorId="1" shapeId="0" xr:uid="{C757096E-A408-46F3-B6C7-83BA83CFCD9C}">
      <text>
        <t>[Threaded comment]
Your version of Excel allows you to read this threaded comment; however, any edits to it will get removed if the file is opened in a newer version of Excel. Learn more: https://go.microsoft.com/fwlink/?linkid=870924
Comment:
    Quais cores @Claudia Machava 
Reply:
    @Dércio Bobo Azul e Magenta 
Reply:
    Podes colocar ai na Descrição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tc={D2B6644F-4CAB-4EB0-A2FD-022B547D569A}</author>
  </authors>
  <commentList>
    <comment ref="B4" authorId="0" shapeId="0" xr:uid="{D2B6644F-4CAB-4EB0-A2FD-022B547D569A}">
      <text>
        <t>[Threaded comment]
Your version of Excel allows you to read this threaded comment; however, any edits to it will get removed if the file is opened in a newer version of Excel. Learn more: https://go.microsoft.com/fwlink/?linkid=870924
Comment:
    Salario minimo subiu</t>
      </text>
    </comment>
  </commentList>
</comments>
</file>

<file path=xl/sharedStrings.xml><?xml version="1.0" encoding="utf-8"?>
<sst xmlns="http://schemas.openxmlformats.org/spreadsheetml/2006/main" count="1002" uniqueCount="224">
  <si>
    <t>Pagamentos Pendentes</t>
  </si>
  <si>
    <t>INSS</t>
  </si>
  <si>
    <t xml:space="preserve">Descricao </t>
  </si>
  <si>
    <t>Valor</t>
  </si>
  <si>
    <t>CAIXA</t>
  </si>
  <si>
    <t>AWS</t>
  </si>
  <si>
    <t>STARLINK</t>
  </si>
  <si>
    <t>Energia</t>
  </si>
  <si>
    <t>Estado</t>
  </si>
  <si>
    <t>Observações</t>
  </si>
  <si>
    <t>Mês de referência</t>
  </si>
  <si>
    <t>IRPS</t>
  </si>
  <si>
    <t>Salarios</t>
  </si>
  <si>
    <t>IVA</t>
  </si>
  <si>
    <t>Renda</t>
  </si>
  <si>
    <t>Nr de contador 04240906836</t>
  </si>
  <si>
    <t>Despesas com deslocações</t>
  </si>
  <si>
    <t>Material para as grades</t>
  </si>
  <si>
    <t>Mao de Obra</t>
  </si>
  <si>
    <t>Divida de Agua que pagamos</t>
  </si>
  <si>
    <t>Assunto Por Tratar Com Sr Saraiva</t>
  </si>
  <si>
    <t>Combustivel</t>
  </si>
  <si>
    <t>BIM</t>
  </si>
  <si>
    <t>Janeiro</t>
  </si>
  <si>
    <t>Fevereiro</t>
  </si>
  <si>
    <t>Prioridade</t>
  </si>
  <si>
    <t>Pago</t>
  </si>
  <si>
    <t>Pendente</t>
  </si>
  <si>
    <t>Em Espera</t>
  </si>
  <si>
    <t>Proximo Mês</t>
  </si>
  <si>
    <t>Total Pago</t>
  </si>
  <si>
    <t>Reembolso Edmilson</t>
  </si>
  <si>
    <t>Reembolso Nuria</t>
  </si>
  <si>
    <t>STB</t>
  </si>
  <si>
    <t>Metodo de PG</t>
  </si>
  <si>
    <t xml:space="preserve">Metodo </t>
  </si>
  <si>
    <t>BIM C</t>
  </si>
  <si>
    <t>Metodo de Pg</t>
  </si>
  <si>
    <t>ALL BIM</t>
  </si>
  <si>
    <t>Agua-FIPAG</t>
  </si>
  <si>
    <t>118643770 nr de referencia</t>
  </si>
  <si>
    <t>Em Progresso</t>
  </si>
  <si>
    <t xml:space="preserve">NiB: 000100000037683898757 </t>
  </si>
  <si>
    <t>000100000112817120857</t>
  </si>
  <si>
    <t>Nib: 000301060958337101350</t>
  </si>
  <si>
    <t>levantar</t>
  </si>
  <si>
    <t>NOTAS</t>
  </si>
  <si>
    <t>NIB do BIM</t>
  </si>
  <si>
    <t>Total Previsto</t>
  </si>
  <si>
    <t>TOTAL Remanescente</t>
  </si>
  <si>
    <t>Column1</t>
  </si>
  <si>
    <t>12724073 (BIM)</t>
  </si>
  <si>
    <t>R:Liquidar 5.000 mts por mês</t>
  </si>
  <si>
    <t>12724073 (BIM)/ NIB: 000100000001272407357</t>
  </si>
  <si>
    <t>Sera 7 meses ate liquidar a divida.</t>
  </si>
  <si>
    <t>Marco</t>
  </si>
  <si>
    <t>O Valor(44807,02)  é referente ao pagamento pacial da AWS, tendo como remanescente 29192,98</t>
  </si>
  <si>
    <t>Parcialmente Pago</t>
  </si>
  <si>
    <t>Valor Pago</t>
  </si>
  <si>
    <t>70.057,02</t>
  </si>
  <si>
    <t>Aniversario</t>
  </si>
  <si>
    <t>Energia reforco 05/02/2026</t>
  </si>
  <si>
    <t>AC</t>
  </si>
  <si>
    <t>Cadeiras de escritorio</t>
  </si>
  <si>
    <t>Secretarias</t>
  </si>
  <si>
    <t>Mao de obra Porta</t>
  </si>
  <si>
    <t>Computador</t>
  </si>
  <si>
    <t>DW</t>
  </si>
  <si>
    <t>Material de Limpeza</t>
  </si>
  <si>
    <t>compras equivalentes a 6 meses</t>
  </si>
  <si>
    <t>Energia 18/02/2026</t>
  </si>
  <si>
    <t>Bonificacao</t>
  </si>
  <si>
    <t>Prestacao de Servicos</t>
  </si>
  <si>
    <t>12.955,60</t>
  </si>
  <si>
    <t>119814722 nr de referencia</t>
  </si>
  <si>
    <t>NIB: 000800008343652310113</t>
  </si>
  <si>
    <t>NIB: 000100000063733597957 (BIM)</t>
  </si>
  <si>
    <t>Energia 04/03/2026</t>
  </si>
  <si>
    <t>96 942,22</t>
  </si>
  <si>
    <t>Mao de obra AC</t>
  </si>
  <si>
    <t>18000btu</t>
  </si>
  <si>
    <t>Reembolso e comicao Edmilson</t>
  </si>
  <si>
    <t>Energia 4/03/2026</t>
  </si>
  <si>
    <t>121043983 nr de referencia</t>
  </si>
  <si>
    <t>O ASSUNTO JÁ ESTA RESOLVIDO E A DIVIDA ESTA A SER QUITADA MENSALMENTE</t>
  </si>
  <si>
    <t>PUR-ORD-2026-00004</t>
  </si>
  <si>
    <t>PUR-ORD-2026-00005</t>
  </si>
  <si>
    <t>Energia Reforco 26/03/2026</t>
  </si>
  <si>
    <t>Candeeiro</t>
  </si>
  <si>
    <t>PUR-ORD-2026-00006</t>
  </si>
  <si>
    <t>PUR-ORD-2026-00007</t>
  </si>
  <si>
    <t>Manuntecao Escritorio</t>
  </si>
  <si>
    <t>7 de Abril</t>
  </si>
  <si>
    <t>Abril</t>
  </si>
  <si>
    <t>Sera 6 meses ate liquidar a divida.</t>
  </si>
  <si>
    <t>Reembolso Claudia</t>
  </si>
  <si>
    <t xml:space="preserve">Reseller club </t>
  </si>
  <si>
    <t>Edson (Abertura da Microcredito)</t>
  </si>
  <si>
    <t>Maio</t>
  </si>
  <si>
    <t>NIB: 000800009870616610113</t>
  </si>
  <si>
    <t>Energia 17/04/26</t>
  </si>
  <si>
    <t>Compra de arranque da bomba</t>
  </si>
  <si>
    <t>Mao de obra Reposicao do arranque</t>
  </si>
  <si>
    <t>camisetas mais bordados</t>
  </si>
  <si>
    <t>Ajuda Claudia(cerimonia funebre)</t>
  </si>
  <si>
    <t>122403550 nr de referencia</t>
  </si>
  <si>
    <t>1 de Maio</t>
  </si>
  <si>
    <t>Sera 5 meses ate liquidar a divida.</t>
  </si>
  <si>
    <t>Recarregamento NIC</t>
  </si>
  <si>
    <t>Nib:000100000000033183857</t>
  </si>
  <si>
    <t>Aniversarios</t>
  </si>
  <si>
    <t xml:space="preserve">	123473225 nr de referencia</t>
  </si>
  <si>
    <t>Sera 4 meses ate liquidar a divida.</t>
  </si>
  <si>
    <t>Julho</t>
  </si>
  <si>
    <t>Junho</t>
  </si>
  <si>
    <t>Sera 3 meses ate liquidar a divida.</t>
  </si>
  <si>
    <t>IRPC-2025</t>
  </si>
  <si>
    <t>Aniversario- Entretech</t>
  </si>
  <si>
    <t>Seguro de Saude</t>
  </si>
  <si>
    <t>NIB:  000800008343652310113</t>
  </si>
  <si>
    <t>Internet para a equipe</t>
  </si>
  <si>
    <t>1000,00</t>
  </si>
  <si>
    <t>Transferencia para a conta micro-credit p/ emissao de chefes</t>
  </si>
  <si>
    <t>NiB: 000100000125274627157</t>
  </si>
  <si>
    <t>Reembolso Edson</t>
  </si>
  <si>
    <t>Brindes para os clientes</t>
  </si>
  <si>
    <t>Montagem de starlink e reparacao de PC</t>
  </si>
  <si>
    <t>Nr de conta: 165412161- BIM</t>
  </si>
  <si>
    <t>NIB: 000301270895452100363 - Stb</t>
  </si>
  <si>
    <t>Tonner (Tech Solution)</t>
  </si>
  <si>
    <t>Investimentos</t>
  </si>
  <si>
    <t>NIB: 000800004452990410195 (Stb)</t>
  </si>
  <si>
    <t>124867367 nr de referencia</t>
  </si>
  <si>
    <t>Aquisicao de Material de Limpeza e escritorio</t>
  </si>
  <si>
    <t>PUR-ORD-2026-00017</t>
  </si>
  <si>
    <t xml:space="preserve">NIB: 000100000000033183857 </t>
  </si>
  <si>
    <t>Dominio escopil- CIUEM</t>
  </si>
  <si>
    <t>IRPS-DH</t>
  </si>
  <si>
    <t>INSS-DH</t>
  </si>
  <si>
    <t>124866808- Nr de referencia</t>
  </si>
  <si>
    <t xml:space="preserve"> nr de referencia</t>
  </si>
  <si>
    <t>Agosto</t>
  </si>
  <si>
    <t>Setembro</t>
  </si>
  <si>
    <t>Outubro</t>
  </si>
  <si>
    <t>Sera 2 meses ate liquidar a divida.</t>
  </si>
  <si>
    <t>Sera 1 meses ate liquidar a divida.</t>
  </si>
  <si>
    <t xml:space="preserve"> Nr de referencia</t>
  </si>
  <si>
    <t>Nr de referencia</t>
  </si>
  <si>
    <t>Saida com a Equipe(Laser)</t>
  </si>
  <si>
    <t>Preciso do valor ate o dia 10 de Julho, o corte de bolo sera no dia 27</t>
  </si>
  <si>
    <t>Dominio blja- CIUEM</t>
  </si>
  <si>
    <t>DW- Water</t>
  </si>
  <si>
    <t>pago</t>
  </si>
  <si>
    <t>Sera no dia 31 Julho- Local Mundo's</t>
  </si>
  <si>
    <t>Seguro Acidente de Trabalho</t>
  </si>
  <si>
    <t>NIB:000301080131170100676 (Stb) nr de conta 1081311701006- Deve ser pago ate o dia 25 de Julho-PUR-ORD-2026-00020</t>
  </si>
  <si>
    <t>126184054 nr de referencia</t>
  </si>
  <si>
    <t>126184488 Nr de referencia</t>
  </si>
  <si>
    <t>Reembolso da Microcredito</t>
  </si>
  <si>
    <t>Column2</t>
  </si>
  <si>
    <t>Factura de compra</t>
  </si>
  <si>
    <t>FT-FORN/26/148</t>
  </si>
  <si>
    <t>FT-FORN/26/066</t>
  </si>
  <si>
    <t>FT-FORN/26/065</t>
  </si>
  <si>
    <t>FT-FORN/26/010</t>
  </si>
  <si>
    <t>FT-FORN/26/011</t>
  </si>
  <si>
    <t>FT-FORN/26/012</t>
  </si>
  <si>
    <t>Factura</t>
  </si>
  <si>
    <t>FT-FORN/26/070</t>
  </si>
  <si>
    <t>FT-FORN/26/074</t>
  </si>
  <si>
    <t>FT-FORN/26/149</t>
  </si>
  <si>
    <t>FT-FORN/26/150</t>
  </si>
  <si>
    <t>FT-FORN/26/080</t>
  </si>
  <si>
    <t>FT-FORN/26/081</t>
  </si>
  <si>
    <t>FT-FORN/26/124</t>
  </si>
  <si>
    <t>FT-FORN/26/152</t>
  </si>
  <si>
    <t>FT-FORN/26/153</t>
  </si>
  <si>
    <t>FT-FORN/26/151</t>
  </si>
  <si>
    <t>FT-FORN/26/154</t>
  </si>
  <si>
    <t>FT-FORN/26/155</t>
  </si>
  <si>
    <t>FT-FORN/26/156</t>
  </si>
  <si>
    <t>FT-FORN/26/026</t>
  </si>
  <si>
    <t>FT-FORN/26/075</t>
  </si>
  <si>
    <t>FT-FORN/26/076</t>
  </si>
  <si>
    <t>FT-FORN/26/157</t>
  </si>
  <si>
    <t>FT-FORN/26/158</t>
  </si>
  <si>
    <t xml:space="preserve">
FT-FORN/26/159</t>
  </si>
  <si>
    <t>FT-FORN/26/160</t>
  </si>
  <si>
    <t>FT-FORN/26/161</t>
  </si>
  <si>
    <t xml:space="preserve">NIB:000301130943102100728 -Camilo Chemane
</t>
  </si>
  <si>
    <t>Computador- DH Microcredito</t>
  </si>
  <si>
    <t>Logotipo para 5 anos da Entretech</t>
  </si>
  <si>
    <t>Priority</t>
  </si>
  <si>
    <t>NIB: 003400004142574410124 - Nr de conta: 4142574410001- Moza Banco, ou Emola 863233000 Esmenia Macie</t>
  </si>
  <si>
    <t>29.671,62</t>
  </si>
  <si>
    <t>Reembolso Dercio</t>
  </si>
  <si>
    <t>Aniversario - Nuria, Helena e Mario</t>
  </si>
  <si>
    <t>Aniversario- Jonas e Hidelgio</t>
  </si>
  <si>
    <t>Preciso do valor ate o dia 05 de Agosto, o ultimo aniversario sera no dia 19, acredito que podesse cortar o bolo no dia 20 ou 21 de Agosto.</t>
  </si>
  <si>
    <t>PUR-ORD-2026-00003</t>
  </si>
  <si>
    <t>Material para o  escritorio(Monitores, fones, mouse)</t>
  </si>
  <si>
    <t>PO:PUR-ORD-2026-00021</t>
  </si>
  <si>
    <t>Agendas personaizadas</t>
  </si>
  <si>
    <t>Computador para o DG</t>
  </si>
  <si>
    <t>Reservado</t>
  </si>
  <si>
    <t>NIB: 000100000063733597957 (BIM) / Conta: 637335979</t>
  </si>
  <si>
    <t>Geladeira</t>
  </si>
  <si>
    <t>Compra de computador</t>
  </si>
  <si>
    <t>NIB:000301130943102100728 -Camilo Chemane Conta:1139431021007
Conta BIM: 218085780</t>
  </si>
  <si>
    <t>Tonner (Tech Solution)- Cor: Azul, Magenta e Preta</t>
  </si>
  <si>
    <t xml:space="preserve"> nr de referencia 127583971</t>
  </si>
  <si>
    <t xml:space="preserve"> Nr de referencia 	127584536</t>
  </si>
  <si>
    <t>Aniversario-Nilton</t>
  </si>
  <si>
    <t>Preciso do valor ate o dia 29 ou 30 de Agosto, o aniversario sera no dia 05 de Setembro</t>
  </si>
  <si>
    <t>Compra de Celular para desenvolvimento de aplicativos</t>
  </si>
  <si>
    <t>mês de agosto</t>
  </si>
  <si>
    <t>NIB: 000800004452990410195 (BCI)</t>
  </si>
  <si>
    <t>Honorarios</t>
  </si>
  <si>
    <t>Pagamento inicial data limite 10 de setembro de 2026</t>
  </si>
  <si>
    <t>segunda parcela, até 31 de Outubro de 2026</t>
  </si>
  <si>
    <t>Despesas Juridicas</t>
  </si>
  <si>
    <t>Recondicionamento de Sofá</t>
  </si>
  <si>
    <t>Investimento DH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</si>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</sst>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\ _M_T_n_-;\-* #,##0.00\ _M_T_n_-;_-* &quot;-&quot;??\ _M_T_n_-;_-@_-"/>
  </numFmts>
  <fonts count="38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00B050"/>
      <name val="Calibri"/>
      <family val="2"/>
      <scheme val="minor"/>
    </font>
    <font>
      <sz val="4"/>
      <color rgb="FF36414C"/>
      <name val="Arial"/>
      <family val="2"/>
    </font>
    <font>
      <sz val="12"/>
      <color rgb="FF36414C"/>
      <name val="Arial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b/>
      <sz val="15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2"/>
      <color rgb="FF36414C"/>
      <name val="Arial"/>
      <family val="2"/>
    </font>
    <font>
      <b/>
      <sz val="14"/>
      <color rgb="FF000000"/>
      <name val="Calibri Light"/>
      <family val="2"/>
      <scheme val="major"/>
    </font>
    <font>
      <sz val="12"/>
      <color theme="1"/>
      <name val="Times New Roman"/>
      <family val="1"/>
    </font>
    <font>
      <sz val="14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rgb="FF00B050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rgb="FF36414C"/>
      <name val="Arial"/>
      <family val="2"/>
    </font>
    <font>
      <sz val="16"/>
      <color theme="1"/>
      <name val="Segoe UI"/>
      <family val="2"/>
    </font>
    <font>
      <sz val="14"/>
      <color rgb="FF36414C"/>
      <name val="Arial"/>
      <family val="2"/>
    </font>
    <font>
      <u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theme="1"/>
      <name val="Segoe UI"/>
      <family val="2"/>
    </font>
    <font>
      <sz val="12"/>
      <name val="Calibri "/>
    </font>
    <font>
      <sz val="8"/>
      <color rgb="FF7C7C7C"/>
      <name val="Segoe UI"/>
      <family val="2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321">
    <xf numFmtId="0" fontId="0" fillId="0" borderId="0" xfId="0"/>
    <xf numFmtId="0" fontId="1" fillId="2" borderId="1" xfId="0" applyFont="1" applyFill="1" applyBorder="1"/>
    <xf numFmtId="0" fontId="1" fillId="2" borderId="4" xfId="0" applyFont="1" applyFill="1" applyBorder="1"/>
    <xf numFmtId="0" fontId="3" fillId="0" borderId="0" xfId="0" applyFont="1"/>
    <xf numFmtId="0" fontId="3" fillId="2" borderId="1" xfId="0" applyFont="1" applyFill="1" applyBorder="1"/>
    <xf numFmtId="164" fontId="3" fillId="2" borderId="1" xfId="1" applyFont="1" applyFill="1" applyBorder="1"/>
    <xf numFmtId="0" fontId="3" fillId="2" borderId="0" xfId="0" applyFont="1" applyFill="1"/>
    <xf numFmtId="0" fontId="5" fillId="2" borderId="1" xfId="0" applyFont="1" applyFill="1" applyBorder="1"/>
    <xf numFmtId="164" fontId="5" fillId="2" borderId="1" xfId="1" applyFont="1" applyFill="1" applyBorder="1"/>
    <xf numFmtId="0" fontId="5" fillId="2" borderId="0" xfId="0" applyFont="1" applyFill="1"/>
    <xf numFmtId="164" fontId="6" fillId="2" borderId="1" xfId="1" applyFont="1" applyFill="1" applyBorder="1"/>
    <xf numFmtId="164" fontId="5" fillId="2" borderId="1" xfId="1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right"/>
    </xf>
    <xf numFmtId="0" fontId="3" fillId="2" borderId="3" xfId="1" applyNumberFormat="1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164" fontId="3" fillId="2" borderId="1" xfId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164" fontId="6" fillId="2" borderId="1" xfId="1" applyFont="1" applyFill="1" applyBorder="1" applyAlignment="1">
      <alignment horizontal="center"/>
    </xf>
    <xf numFmtId="164" fontId="3" fillId="0" borderId="0" xfId="1" applyFont="1"/>
    <xf numFmtId="0" fontId="3" fillId="2" borderId="1" xfId="1" applyNumberFormat="1" applyFont="1" applyFill="1" applyBorder="1" applyAlignment="1">
      <alignment horizontal="center" vertical="center"/>
    </xf>
    <xf numFmtId="0" fontId="0" fillId="6" borderId="0" xfId="0" applyFill="1"/>
    <xf numFmtId="0" fontId="8" fillId="0" borderId="0" xfId="0" applyFont="1"/>
    <xf numFmtId="49" fontId="3" fillId="0" borderId="0" xfId="0" applyNumberFormat="1" applyFont="1" applyAlignment="1">
      <alignment horizontal="right"/>
    </xf>
    <xf numFmtId="164" fontId="3" fillId="3" borderId="1" xfId="1" applyFont="1" applyFill="1" applyBorder="1" applyAlignment="1">
      <alignment horizontal="center"/>
    </xf>
    <xf numFmtId="164" fontId="5" fillId="3" borderId="1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/>
    <xf numFmtId="0" fontId="3" fillId="2" borderId="2" xfId="0" applyFont="1" applyFill="1" applyBorder="1"/>
    <xf numFmtId="0" fontId="5" fillId="2" borderId="2" xfId="0" applyFont="1" applyFill="1" applyBorder="1"/>
    <xf numFmtId="0" fontId="3" fillId="2" borderId="7" xfId="0" applyFont="1" applyFill="1" applyBorder="1"/>
    <xf numFmtId="164" fontId="3" fillId="2" borderId="0" xfId="1" applyFont="1" applyFill="1" applyBorder="1"/>
    <xf numFmtId="0" fontId="3" fillId="2" borderId="8" xfId="0" applyFont="1" applyFill="1" applyBorder="1"/>
    <xf numFmtId="0" fontId="5" fillId="2" borderId="7" xfId="0" applyFont="1" applyFill="1" applyBorder="1"/>
    <xf numFmtId="164" fontId="5" fillId="2" borderId="0" xfId="1" applyFont="1" applyFill="1" applyBorder="1"/>
    <xf numFmtId="0" fontId="5" fillId="2" borderId="8" xfId="0" applyFont="1" applyFill="1" applyBorder="1"/>
    <xf numFmtId="164" fontId="3" fillId="2" borderId="0" xfId="1" applyFont="1" applyFill="1" applyBorder="1" applyAlignment="1">
      <alignment horizontal="right"/>
    </xf>
    <xf numFmtId="0" fontId="3" fillId="2" borderId="7" xfId="0" applyFont="1" applyFill="1" applyBorder="1" applyAlignment="1">
      <alignment vertical="center"/>
    </xf>
    <xf numFmtId="0" fontId="7" fillId="2" borderId="0" xfId="0" applyFont="1" applyFill="1"/>
    <xf numFmtId="164" fontId="4" fillId="2" borderId="0" xfId="1" applyFont="1" applyFill="1" applyBorder="1"/>
    <xf numFmtId="0" fontId="5" fillId="2" borderId="3" xfId="0" applyFont="1" applyFill="1" applyBorder="1"/>
    <xf numFmtId="164" fontId="5" fillId="2" borderId="3" xfId="1" applyFont="1" applyFill="1" applyBorder="1"/>
    <xf numFmtId="164" fontId="5" fillId="2" borderId="3" xfId="1" applyFont="1" applyFill="1" applyBorder="1" applyAlignment="1">
      <alignment horizontal="center"/>
    </xf>
    <xf numFmtId="164" fontId="6" fillId="2" borderId="3" xfId="1" applyFont="1" applyFill="1" applyBorder="1"/>
    <xf numFmtId="43" fontId="8" fillId="0" borderId="0" xfId="0" applyNumberFormat="1" applyFont="1"/>
    <xf numFmtId="164" fontId="5" fillId="2" borderId="3" xfId="1" applyFont="1" applyFill="1" applyBorder="1" applyAlignment="1">
      <alignment horizontal="right"/>
    </xf>
    <xf numFmtId="0" fontId="4" fillId="0" borderId="17" xfId="0" applyFont="1" applyBorder="1"/>
    <xf numFmtId="0" fontId="4" fillId="0" borderId="18" xfId="0" applyFont="1" applyBorder="1"/>
    <xf numFmtId="164" fontId="4" fillId="0" borderId="13" xfId="0" applyNumberFormat="1" applyFont="1" applyBorder="1"/>
    <xf numFmtId="164" fontId="4" fillId="0" borderId="19" xfId="0" applyNumberFormat="1" applyFont="1" applyBorder="1"/>
    <xf numFmtId="0" fontId="3" fillId="0" borderId="12" xfId="0" applyFont="1" applyBorder="1"/>
    <xf numFmtId="164" fontId="3" fillId="0" borderId="21" xfId="0" applyNumberFormat="1" applyFont="1" applyBorder="1"/>
    <xf numFmtId="0" fontId="4" fillId="0" borderId="2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64" fontId="3" fillId="0" borderId="6" xfId="1" applyFont="1" applyBorder="1" applyAlignment="1">
      <alignment horizontal="center"/>
    </xf>
    <xf numFmtId="164" fontId="3" fillId="0" borderId="8" xfId="1" applyFont="1" applyBorder="1" applyAlignment="1">
      <alignment horizontal="center"/>
    </xf>
    <xf numFmtId="164" fontId="3" fillId="0" borderId="11" xfId="1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164" fontId="3" fillId="0" borderId="22" xfId="1" applyFont="1" applyBorder="1" applyAlignment="1">
      <alignment horizontal="left"/>
    </xf>
    <xf numFmtId="164" fontId="3" fillId="0" borderId="23" xfId="1" applyFont="1" applyBorder="1" applyAlignment="1">
      <alignment horizontal="left"/>
    </xf>
    <xf numFmtId="164" fontId="3" fillId="0" borderId="24" xfId="1" applyFont="1" applyBorder="1" applyAlignment="1">
      <alignment horizontal="left"/>
    </xf>
    <xf numFmtId="0" fontId="3" fillId="0" borderId="14" xfId="0" applyFont="1" applyBorder="1" applyAlignment="1">
      <alignment vertical="center"/>
    </xf>
    <xf numFmtId="49" fontId="3" fillId="2" borderId="0" xfId="0" applyNumberFormat="1" applyFont="1" applyFill="1" applyAlignment="1">
      <alignment horizontal="right"/>
    </xf>
    <xf numFmtId="0" fontId="10" fillId="2" borderId="7" xfId="0" applyFont="1" applyFill="1" applyBorder="1"/>
    <xf numFmtId="0" fontId="4" fillId="2" borderId="8" xfId="0" applyFont="1" applyFill="1" applyBorder="1"/>
    <xf numFmtId="0" fontId="9" fillId="2" borderId="7" xfId="0" applyFont="1" applyFill="1" applyBorder="1"/>
    <xf numFmtId="0" fontId="3" fillId="2" borderId="9" xfId="0" applyFont="1" applyFill="1" applyBorder="1"/>
    <xf numFmtId="164" fontId="3" fillId="2" borderId="10" xfId="1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12" xfId="0" applyFont="1" applyFill="1" applyBorder="1"/>
    <xf numFmtId="0" fontId="3" fillId="2" borderId="21" xfId="0" applyFont="1" applyFill="1" applyBorder="1"/>
    <xf numFmtId="164" fontId="5" fillId="3" borderId="3" xfId="1" applyFont="1" applyFill="1" applyBorder="1" applyAlignment="1">
      <alignment horizontal="center"/>
    </xf>
    <xf numFmtId="0" fontId="3" fillId="2" borderId="25" xfId="0" applyFont="1" applyFill="1" applyBorder="1"/>
    <xf numFmtId="0" fontId="5" fillId="2" borderId="25" xfId="0" applyFont="1" applyFill="1" applyBorder="1"/>
    <xf numFmtId="0" fontId="5" fillId="2" borderId="26" xfId="0" applyFont="1" applyFill="1" applyBorder="1"/>
    <xf numFmtId="0" fontId="11" fillId="0" borderId="18" xfId="0" applyFont="1" applyBorder="1"/>
    <xf numFmtId="164" fontId="11" fillId="0" borderId="19" xfId="1" applyFont="1" applyBorder="1"/>
    <xf numFmtId="0" fontId="4" fillId="7" borderId="27" xfId="0" applyFont="1" applyFill="1" applyBorder="1"/>
    <xf numFmtId="0" fontId="4" fillId="7" borderId="4" xfId="0" applyFont="1" applyFill="1" applyBorder="1" applyAlignment="1">
      <alignment horizontal="center"/>
    </xf>
    <xf numFmtId="0" fontId="4" fillId="7" borderId="28" xfId="0" applyFont="1" applyFill="1" applyBorder="1"/>
    <xf numFmtId="0" fontId="12" fillId="2" borderId="0" xfId="0" applyFont="1" applyFill="1"/>
    <xf numFmtId="164" fontId="3" fillId="2" borderId="0" xfId="1" applyFont="1" applyFill="1"/>
    <xf numFmtId="164" fontId="5" fillId="2" borderId="0" xfId="1" applyFont="1" applyFill="1"/>
    <xf numFmtId="164" fontId="3" fillId="2" borderId="0" xfId="1" applyFont="1" applyFill="1" applyAlignment="1">
      <alignment horizontal="right"/>
    </xf>
    <xf numFmtId="164" fontId="4" fillId="2" borderId="0" xfId="1" applyFont="1" applyFill="1"/>
    <xf numFmtId="0" fontId="13" fillId="0" borderId="0" xfId="0" applyFont="1"/>
    <xf numFmtId="43" fontId="13" fillId="0" borderId="0" xfId="0" applyNumberFormat="1" applyFont="1"/>
    <xf numFmtId="0" fontId="0" fillId="8" borderId="0" xfId="0" applyFill="1"/>
    <xf numFmtId="0" fontId="0" fillId="9" borderId="0" xfId="0" applyFill="1"/>
    <xf numFmtId="164" fontId="3" fillId="2" borderId="1" xfId="1" applyFont="1" applyFill="1" applyBorder="1" applyAlignment="1">
      <alignment horizontal="right"/>
    </xf>
    <xf numFmtId="164" fontId="6" fillId="2" borderId="1" xfId="1" applyFont="1" applyFill="1" applyBorder="1" applyAlignment="1">
      <alignment horizontal="right"/>
    </xf>
    <xf numFmtId="0" fontId="14" fillId="0" borderId="0" xfId="0" applyFont="1" applyAlignment="1">
      <alignment horizontal="right"/>
    </xf>
    <xf numFmtId="0" fontId="15" fillId="0" borderId="0" xfId="0" applyFont="1"/>
    <xf numFmtId="0" fontId="3" fillId="2" borderId="14" xfId="0" applyFont="1" applyFill="1" applyBorder="1" applyAlignment="1">
      <alignment vertical="center"/>
    </xf>
    <xf numFmtId="165" fontId="3" fillId="0" borderId="0" xfId="0" applyNumberFormat="1" applyFont="1"/>
    <xf numFmtId="4" fontId="16" fillId="2" borderId="0" xfId="0" applyNumberFormat="1" applyFont="1" applyFill="1" applyAlignment="1">
      <alignment horizontal="right"/>
    </xf>
    <xf numFmtId="0" fontId="18" fillId="0" borderId="0" xfId="0" applyFont="1"/>
    <xf numFmtId="164" fontId="18" fillId="0" borderId="0" xfId="1" applyFont="1"/>
    <xf numFmtId="0" fontId="19" fillId="0" borderId="0" xfId="0" applyFont="1" applyAlignment="1">
      <alignment horizontal="center"/>
    </xf>
    <xf numFmtId="0" fontId="19" fillId="7" borderId="27" xfId="0" applyFont="1" applyFill="1" applyBorder="1"/>
    <xf numFmtId="0" fontId="19" fillId="7" borderId="4" xfId="0" applyFont="1" applyFill="1" applyBorder="1" applyAlignment="1">
      <alignment horizontal="center"/>
    </xf>
    <xf numFmtId="0" fontId="19" fillId="7" borderId="28" xfId="0" applyFont="1" applyFill="1" applyBorder="1"/>
    <xf numFmtId="0" fontId="19" fillId="2" borderId="12" xfId="0" applyFont="1" applyFill="1" applyBorder="1"/>
    <xf numFmtId="0" fontId="18" fillId="2" borderId="21" xfId="0" applyFont="1" applyFill="1" applyBorder="1"/>
    <xf numFmtId="0" fontId="18" fillId="2" borderId="25" xfId="0" applyFont="1" applyFill="1" applyBorder="1"/>
    <xf numFmtId="4" fontId="20" fillId="2" borderId="0" xfId="0" applyNumberFormat="1" applyFont="1" applyFill="1" applyAlignment="1">
      <alignment horizontal="right"/>
    </xf>
    <xf numFmtId="0" fontId="18" fillId="2" borderId="3" xfId="1" applyNumberFormat="1" applyFont="1" applyFill="1" applyBorder="1" applyAlignment="1">
      <alignment horizontal="center" vertical="center"/>
    </xf>
    <xf numFmtId="164" fontId="18" fillId="2" borderId="1" xfId="1" applyFont="1" applyFill="1" applyBorder="1" applyAlignment="1">
      <alignment horizontal="center"/>
    </xf>
    <xf numFmtId="164" fontId="21" fillId="2" borderId="1" xfId="1" applyFont="1" applyFill="1" applyBorder="1"/>
    <xf numFmtId="0" fontId="18" fillId="2" borderId="1" xfId="0" applyFont="1" applyFill="1" applyBorder="1"/>
    <xf numFmtId="0" fontId="18" fillId="2" borderId="2" xfId="0" applyFont="1" applyFill="1" applyBorder="1"/>
    <xf numFmtId="0" fontId="18" fillId="2" borderId="7" xfId="0" applyFont="1" applyFill="1" applyBorder="1"/>
    <xf numFmtId="0" fontId="22" fillId="2" borderId="0" xfId="0" applyFont="1" applyFill="1"/>
    <xf numFmtId="0" fontId="18" fillId="2" borderId="0" xfId="0" applyFont="1" applyFill="1"/>
    <xf numFmtId="0" fontId="18" fillId="2" borderId="8" xfId="0" applyFont="1" applyFill="1" applyBorder="1"/>
    <xf numFmtId="0" fontId="23" fillId="2" borderId="25" xfId="0" applyFont="1" applyFill="1" applyBorder="1"/>
    <xf numFmtId="164" fontId="23" fillId="2" borderId="1" xfId="1" applyFont="1" applyFill="1" applyBorder="1" applyAlignment="1">
      <alignment horizontal="center"/>
    </xf>
    <xf numFmtId="0" fontId="23" fillId="2" borderId="1" xfId="0" applyFont="1" applyFill="1" applyBorder="1"/>
    <xf numFmtId="0" fontId="23" fillId="2" borderId="2" xfId="0" applyFont="1" applyFill="1" applyBorder="1"/>
    <xf numFmtId="0" fontId="23" fillId="2" borderId="7" xfId="0" applyFont="1" applyFill="1" applyBorder="1"/>
    <xf numFmtId="164" fontId="23" fillId="2" borderId="0" xfId="1" applyFont="1" applyFill="1"/>
    <xf numFmtId="0" fontId="23" fillId="2" borderId="8" xfId="0" applyFont="1" applyFill="1" applyBorder="1"/>
    <xf numFmtId="0" fontId="23" fillId="2" borderId="0" xfId="0" applyFont="1" applyFill="1"/>
    <xf numFmtId="164" fontId="23" fillId="2" borderId="3" xfId="1" applyFont="1" applyFill="1" applyBorder="1"/>
    <xf numFmtId="164" fontId="23" fillId="2" borderId="3" xfId="1" applyFont="1" applyFill="1" applyBorder="1" applyAlignment="1">
      <alignment horizontal="center"/>
    </xf>
    <xf numFmtId="164" fontId="21" fillId="2" borderId="3" xfId="1" applyFont="1" applyFill="1" applyBorder="1"/>
    <xf numFmtId="0" fontId="23" fillId="2" borderId="3" xfId="0" applyFont="1" applyFill="1" applyBorder="1"/>
    <xf numFmtId="164" fontId="18" fillId="2" borderId="0" xfId="1" applyFont="1" applyFill="1" applyAlignment="1">
      <alignment horizontal="right"/>
    </xf>
    <xf numFmtId="164" fontId="18" fillId="2" borderId="1" xfId="1" applyFont="1" applyFill="1" applyBorder="1"/>
    <xf numFmtId="0" fontId="18" fillId="2" borderId="1" xfId="1" applyNumberFormat="1" applyFont="1" applyFill="1" applyBorder="1" applyAlignment="1">
      <alignment horizontal="center" vertical="center"/>
    </xf>
    <xf numFmtId="164" fontId="18" fillId="2" borderId="0" xfId="1" applyFont="1" applyFill="1"/>
    <xf numFmtId="164" fontId="23" fillId="2" borderId="1" xfId="1" applyFont="1" applyFill="1" applyBorder="1" applyAlignment="1">
      <alignment horizontal="right"/>
    </xf>
    <xf numFmtId="164" fontId="23" fillId="2" borderId="1" xfId="1" applyFont="1" applyFill="1" applyBorder="1"/>
    <xf numFmtId="164" fontId="21" fillId="2" borderId="1" xfId="1" applyFont="1" applyFill="1" applyBorder="1" applyAlignment="1">
      <alignment horizontal="center"/>
    </xf>
    <xf numFmtId="164" fontId="19" fillId="2" borderId="0" xfId="1" applyFont="1" applyFill="1"/>
    <xf numFmtId="49" fontId="18" fillId="2" borderId="0" xfId="0" applyNumberFormat="1" applyFont="1" applyFill="1" applyAlignment="1">
      <alignment horizontal="right"/>
    </xf>
    <xf numFmtId="0" fontId="19" fillId="0" borderId="18" xfId="0" applyFont="1" applyBorder="1"/>
    <xf numFmtId="164" fontId="19" fillId="0" borderId="19" xfId="1" applyFont="1" applyBorder="1"/>
    <xf numFmtId="0" fontId="25" fillId="2" borderId="7" xfId="0" applyFont="1" applyFill="1" applyBorder="1"/>
    <xf numFmtId="0" fontId="19" fillId="2" borderId="0" xfId="0" applyFont="1" applyFill="1"/>
    <xf numFmtId="0" fontId="19" fillId="2" borderId="8" xfId="0" applyFont="1" applyFill="1" applyBorder="1"/>
    <xf numFmtId="0" fontId="19" fillId="0" borderId="0" xfId="0" applyFont="1"/>
    <xf numFmtId="0" fontId="19" fillId="0" borderId="17" xfId="0" applyFont="1" applyBorder="1"/>
    <xf numFmtId="164" fontId="19" fillId="0" borderId="13" xfId="0" applyNumberFormat="1" applyFont="1" applyBorder="1"/>
    <xf numFmtId="164" fontId="19" fillId="0" borderId="19" xfId="0" applyNumberFormat="1" applyFont="1" applyBorder="1"/>
    <xf numFmtId="0" fontId="18" fillId="2" borderId="9" xfId="0" applyFont="1" applyFill="1" applyBorder="1"/>
    <xf numFmtId="164" fontId="18" fillId="2" borderId="10" xfId="1" applyFont="1" applyFill="1" applyBorder="1"/>
    <xf numFmtId="0" fontId="18" fillId="2" borderId="10" xfId="0" applyFont="1" applyFill="1" applyBorder="1"/>
    <xf numFmtId="0" fontId="18" fillId="2" borderId="11" xfId="0" applyFont="1" applyFill="1" applyBorder="1"/>
    <xf numFmtId="0" fontId="24" fillId="0" borderId="0" xfId="0" applyFont="1"/>
    <xf numFmtId="43" fontId="24" fillId="0" borderId="0" xfId="0" applyNumberFormat="1" applyFont="1"/>
    <xf numFmtId="0" fontId="18" fillId="0" borderId="0" xfId="0" applyFont="1" applyAlignment="1">
      <alignment horizontal="right"/>
    </xf>
    <xf numFmtId="49" fontId="18" fillId="0" borderId="0" xfId="0" applyNumberFormat="1" applyFont="1" applyAlignment="1">
      <alignment horizontal="right"/>
    </xf>
    <xf numFmtId="0" fontId="19" fillId="0" borderId="12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8" fillId="0" borderId="5" xfId="0" applyFont="1" applyBorder="1" applyAlignment="1">
      <alignment horizontal="left"/>
    </xf>
    <xf numFmtId="164" fontId="18" fillId="0" borderId="22" xfId="1" applyFont="1" applyBorder="1" applyAlignment="1">
      <alignment horizontal="left"/>
    </xf>
    <xf numFmtId="164" fontId="18" fillId="0" borderId="6" xfId="1" applyFont="1" applyBorder="1" applyAlignment="1">
      <alignment horizontal="center"/>
    </xf>
    <xf numFmtId="0" fontId="18" fillId="0" borderId="7" xfId="0" applyFont="1" applyBorder="1" applyAlignment="1">
      <alignment horizontal="left"/>
    </xf>
    <xf numFmtId="164" fontId="18" fillId="0" borderId="23" xfId="1" applyFont="1" applyBorder="1" applyAlignment="1">
      <alignment horizontal="left"/>
    </xf>
    <xf numFmtId="164" fontId="18" fillId="0" borderId="8" xfId="1" applyFont="1" applyBorder="1" applyAlignment="1">
      <alignment horizontal="center"/>
    </xf>
    <xf numFmtId="164" fontId="18" fillId="0" borderId="24" xfId="1" applyFont="1" applyBorder="1" applyAlignment="1">
      <alignment horizontal="left"/>
    </xf>
    <xf numFmtId="164" fontId="18" fillId="0" borderId="11" xfId="1" applyFont="1" applyBorder="1" applyAlignment="1">
      <alignment horizontal="center"/>
    </xf>
    <xf numFmtId="0" fontId="18" fillId="0" borderId="12" xfId="0" applyFont="1" applyBorder="1"/>
    <xf numFmtId="164" fontId="18" fillId="0" borderId="21" xfId="0" applyNumberFormat="1" applyFont="1" applyBorder="1"/>
    <xf numFmtId="0" fontId="27" fillId="2" borderId="0" xfId="2" applyFont="1" applyFill="1" applyAlignment="1">
      <alignment horizontal="left" vertical="center" wrapText="1" indent="1"/>
    </xf>
    <xf numFmtId="0" fontId="28" fillId="2" borderId="0" xfId="2" applyFont="1" applyFill="1" applyAlignment="1">
      <alignment horizontal="left" vertical="center" wrapText="1" indent="1"/>
    </xf>
    <xf numFmtId="0" fontId="28" fillId="0" borderId="0" xfId="2" applyFont="1" applyAlignment="1">
      <alignment horizontal="left" vertical="center" wrapText="1" indent="1"/>
    </xf>
    <xf numFmtId="164" fontId="4" fillId="0" borderId="19" xfId="1" applyFont="1" applyBorder="1"/>
    <xf numFmtId="0" fontId="29" fillId="2" borderId="7" xfId="0" applyFont="1" applyFill="1" applyBorder="1"/>
    <xf numFmtId="0" fontId="26" fillId="0" borderId="0" xfId="0" applyFont="1"/>
    <xf numFmtId="43" fontId="26" fillId="0" borderId="0" xfId="0" applyNumberFormat="1" applyFont="1"/>
    <xf numFmtId="0" fontId="30" fillId="0" borderId="0" xfId="0" applyFont="1"/>
    <xf numFmtId="10" fontId="3" fillId="0" borderId="0" xfId="0" applyNumberFormat="1" applyFont="1"/>
    <xf numFmtId="0" fontId="5" fillId="2" borderId="35" xfId="0" applyFont="1" applyFill="1" applyBorder="1"/>
    <xf numFmtId="0" fontId="3" fillId="2" borderId="35" xfId="0" applyFont="1" applyFill="1" applyBorder="1"/>
    <xf numFmtId="0" fontId="4" fillId="7" borderId="38" xfId="0" applyFont="1" applyFill="1" applyBorder="1"/>
    <xf numFmtId="0" fontId="4" fillId="7" borderId="39" xfId="0" applyFont="1" applyFill="1" applyBorder="1" applyAlignment="1">
      <alignment horizontal="center"/>
    </xf>
    <xf numFmtId="0" fontId="4" fillId="7" borderId="40" xfId="0" applyFont="1" applyFill="1" applyBorder="1"/>
    <xf numFmtId="0" fontId="3" fillId="2" borderId="33" xfId="0" applyFont="1" applyFill="1" applyBorder="1"/>
    <xf numFmtId="4" fontId="16" fillId="2" borderId="29" xfId="0" applyNumberFormat="1" applyFont="1" applyFill="1" applyBorder="1" applyAlignment="1">
      <alignment horizontal="right"/>
    </xf>
    <xf numFmtId="0" fontId="3" fillId="2" borderId="41" xfId="1" applyNumberFormat="1" applyFont="1" applyFill="1" applyBorder="1" applyAlignment="1">
      <alignment horizontal="center" vertical="center"/>
    </xf>
    <xf numFmtId="164" fontId="3" fillId="2" borderId="34" xfId="1" applyFont="1" applyFill="1" applyBorder="1" applyAlignment="1">
      <alignment horizontal="center"/>
    </xf>
    <xf numFmtId="164" fontId="6" fillId="2" borderId="34" xfId="1" applyFont="1" applyFill="1" applyBorder="1"/>
    <xf numFmtId="0" fontId="3" fillId="2" borderId="34" xfId="0" applyFont="1" applyFill="1" applyBorder="1"/>
    <xf numFmtId="0" fontId="3" fillId="2" borderId="42" xfId="0" applyFont="1" applyFill="1" applyBorder="1"/>
    <xf numFmtId="0" fontId="5" fillId="2" borderId="43" xfId="0" applyFont="1" applyFill="1" applyBorder="1"/>
    <xf numFmtId="0" fontId="3" fillId="2" borderId="43" xfId="0" applyFont="1" applyFill="1" applyBorder="1"/>
    <xf numFmtId="0" fontId="5" fillId="2" borderId="36" xfId="0" applyFont="1" applyFill="1" applyBorder="1"/>
    <xf numFmtId="164" fontId="5" fillId="2" borderId="37" xfId="1" applyFont="1" applyFill="1" applyBorder="1" applyAlignment="1">
      <alignment horizontal="right"/>
    </xf>
    <xf numFmtId="0" fontId="3" fillId="2" borderId="37" xfId="1" applyNumberFormat="1" applyFont="1" applyFill="1" applyBorder="1" applyAlignment="1">
      <alignment horizontal="center" vertical="center"/>
    </xf>
    <xf numFmtId="164" fontId="3" fillId="2" borderId="37" xfId="1" applyFont="1" applyFill="1" applyBorder="1" applyAlignment="1">
      <alignment horizontal="center"/>
    </xf>
    <xf numFmtId="164" fontId="6" fillId="2" borderId="37" xfId="1" applyFont="1" applyFill="1" applyBorder="1"/>
    <xf numFmtId="0" fontId="3" fillId="2" borderId="37" xfId="0" applyFont="1" applyFill="1" applyBorder="1"/>
    <xf numFmtId="0" fontId="3" fillId="2" borderId="44" xfId="0" applyFont="1" applyFill="1" applyBorder="1"/>
    <xf numFmtId="0" fontId="5" fillId="10" borderId="27" xfId="0" applyFont="1" applyFill="1" applyBorder="1"/>
    <xf numFmtId="164" fontId="5" fillId="10" borderId="4" xfId="1" applyFont="1" applyFill="1" applyBorder="1" applyAlignment="1">
      <alignment horizontal="right"/>
    </xf>
    <xf numFmtId="0" fontId="3" fillId="10" borderId="4" xfId="1" applyNumberFormat="1" applyFont="1" applyFill="1" applyBorder="1" applyAlignment="1">
      <alignment horizontal="center" vertical="center"/>
    </xf>
    <xf numFmtId="164" fontId="5" fillId="10" borderId="4" xfId="1" applyFont="1" applyFill="1" applyBorder="1" applyAlignment="1">
      <alignment horizontal="center"/>
    </xf>
    <xf numFmtId="164" fontId="6" fillId="10" borderId="4" xfId="1" applyFont="1" applyFill="1" applyBorder="1"/>
    <xf numFmtId="0" fontId="5" fillId="10" borderId="4" xfId="0" applyFont="1" applyFill="1" applyBorder="1"/>
    <xf numFmtId="0" fontId="5" fillId="10" borderId="28" xfId="0" applyFont="1" applyFill="1" applyBorder="1"/>
    <xf numFmtId="0" fontId="3" fillId="10" borderId="1" xfId="0" applyFont="1" applyFill="1" applyBorder="1"/>
    <xf numFmtId="4" fontId="31" fillId="10" borderId="1" xfId="0" applyNumberFormat="1" applyFont="1" applyFill="1" applyBorder="1"/>
    <xf numFmtId="0" fontId="17" fillId="10" borderId="1" xfId="2" applyFill="1" applyBorder="1"/>
    <xf numFmtId="0" fontId="3" fillId="10" borderId="0" xfId="0" applyFont="1" applyFill="1"/>
    <xf numFmtId="164" fontId="5" fillId="10" borderId="1" xfId="1" applyFont="1" applyFill="1" applyBorder="1" applyAlignment="1">
      <alignment horizontal="right"/>
    </xf>
    <xf numFmtId="0" fontId="3" fillId="10" borderId="1" xfId="1" applyNumberFormat="1" applyFont="1" applyFill="1" applyBorder="1" applyAlignment="1">
      <alignment horizontal="center" vertical="center"/>
    </xf>
    <xf numFmtId="164" fontId="5" fillId="10" borderId="1" xfId="1" applyFont="1" applyFill="1" applyBorder="1" applyAlignment="1">
      <alignment horizontal="center"/>
    </xf>
    <xf numFmtId="164" fontId="6" fillId="10" borderId="1" xfId="1" applyFont="1" applyFill="1" applyBorder="1"/>
    <xf numFmtId="0" fontId="5" fillId="10" borderId="1" xfId="0" applyFont="1" applyFill="1" applyBorder="1"/>
    <xf numFmtId="0" fontId="5" fillId="10" borderId="2" xfId="0" applyFont="1" applyFill="1" applyBorder="1"/>
    <xf numFmtId="0" fontId="5" fillId="10" borderId="25" xfId="0" applyFont="1" applyFill="1" applyBorder="1"/>
    <xf numFmtId="0" fontId="3" fillId="10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2" borderId="43" xfId="0" applyNumberFormat="1" applyFont="1" applyFill="1" applyBorder="1"/>
    <xf numFmtId="0" fontId="5" fillId="11" borderId="25" xfId="0" applyFont="1" applyFill="1" applyBorder="1"/>
    <xf numFmtId="164" fontId="5" fillId="11" borderId="1" xfId="1" applyFont="1" applyFill="1" applyBorder="1" applyAlignment="1">
      <alignment horizontal="right"/>
    </xf>
    <xf numFmtId="3" fontId="0" fillId="11" borderId="0" xfId="0" applyNumberFormat="1" applyFill="1"/>
    <xf numFmtId="164" fontId="5" fillId="11" borderId="1" xfId="1" applyFont="1" applyFill="1" applyBorder="1" applyAlignment="1">
      <alignment horizontal="center"/>
    </xf>
    <xf numFmtId="164" fontId="6" fillId="11" borderId="1" xfId="1" applyFont="1" applyFill="1" applyBorder="1"/>
    <xf numFmtId="0" fontId="5" fillId="11" borderId="1" xfId="0" applyFont="1" applyFill="1" applyBorder="1"/>
    <xf numFmtId="0" fontId="5" fillId="11" borderId="7" xfId="0" applyFont="1" applyFill="1" applyBorder="1"/>
    <xf numFmtId="164" fontId="5" fillId="11" borderId="0" xfId="1" applyFont="1" applyFill="1"/>
    <xf numFmtId="0" fontId="5" fillId="11" borderId="0" xfId="0" applyFont="1" applyFill="1"/>
    <xf numFmtId="0" fontId="5" fillId="11" borderId="8" xfId="0" applyFont="1" applyFill="1" applyBorder="1"/>
    <xf numFmtId="0" fontId="17" fillId="0" borderId="0" xfId="2" applyAlignment="1">
      <alignment horizontal="left" vertical="center" wrapText="1" indent="1"/>
    </xf>
    <xf numFmtId="0" fontId="5" fillId="0" borderId="0" xfId="0" applyFont="1"/>
    <xf numFmtId="0" fontId="34" fillId="0" borderId="0" xfId="2" applyFont="1" applyAlignment="1">
      <alignment horizontal="left" vertical="center" wrapText="1" indent="1"/>
    </xf>
    <xf numFmtId="164" fontId="5" fillId="2" borderId="37" xfId="1" applyFont="1" applyFill="1" applyBorder="1"/>
    <xf numFmtId="164" fontId="5" fillId="10" borderId="4" xfId="1" applyFont="1" applyFill="1" applyBorder="1"/>
    <xf numFmtId="164" fontId="5" fillId="10" borderId="1" xfId="1" applyFont="1" applyFill="1" applyBorder="1"/>
    <xf numFmtId="0" fontId="5" fillId="0" borderId="0" xfId="0" applyFont="1" applyAlignment="1">
      <alignment horizontal="right"/>
    </xf>
    <xf numFmtId="0" fontId="32" fillId="7" borderId="39" xfId="0" applyFont="1" applyFill="1" applyBorder="1" applyAlignment="1">
      <alignment horizontal="center"/>
    </xf>
    <xf numFmtId="164" fontId="21" fillId="2" borderId="1" xfId="1" applyFont="1" applyFill="1" applyBorder="1" applyAlignment="1">
      <alignment wrapText="1"/>
    </xf>
    <xf numFmtId="0" fontId="32" fillId="7" borderId="4" xfId="0" applyFont="1" applyFill="1" applyBorder="1" applyAlignment="1">
      <alignment horizontal="center"/>
    </xf>
    <xf numFmtId="164" fontId="1" fillId="2" borderId="1" xfId="1" applyFont="1" applyFill="1" applyBorder="1"/>
    <xf numFmtId="164" fontId="35" fillId="2" borderId="1" xfId="1" applyFont="1" applyFill="1" applyBorder="1"/>
    <xf numFmtId="164" fontId="35" fillId="2" borderId="1" xfId="1" applyFont="1" applyFill="1" applyBorder="1" applyAlignment="1">
      <alignment horizontal="right"/>
    </xf>
    <xf numFmtId="164" fontId="35" fillId="2" borderId="3" xfId="1" applyFont="1" applyFill="1" applyBorder="1"/>
    <xf numFmtId="0" fontId="5" fillId="11" borderId="25" xfId="0" applyFont="1" applyFill="1" applyBorder="1" applyAlignment="1">
      <alignment vertical="top"/>
    </xf>
    <xf numFmtId="0" fontId="3" fillId="11" borderId="1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vertical="top" wrapText="1"/>
    </xf>
    <xf numFmtId="164" fontId="3" fillId="10" borderId="1" xfId="1" applyFont="1" applyFill="1" applyBorder="1"/>
    <xf numFmtId="0" fontId="3" fillId="0" borderId="0" xfId="0" applyFont="1" applyAlignment="1">
      <alignment wrapText="1"/>
    </xf>
    <xf numFmtId="0" fontId="4" fillId="7" borderId="40" xfId="0" applyFont="1" applyFill="1" applyBorder="1" applyAlignment="1">
      <alignment wrapText="1"/>
    </xf>
    <xf numFmtId="0" fontId="3" fillId="2" borderId="42" xfId="0" applyFont="1" applyFill="1" applyBorder="1" applyAlignment="1">
      <alignment wrapText="1"/>
    </xf>
    <xf numFmtId="0" fontId="5" fillId="2" borderId="43" xfId="0" applyFont="1" applyFill="1" applyBorder="1" applyAlignment="1">
      <alignment wrapText="1"/>
    </xf>
    <xf numFmtId="0" fontId="3" fillId="2" borderId="43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3" fillId="2" borderId="44" xfId="0" applyFont="1" applyFill="1" applyBorder="1" applyAlignment="1">
      <alignment wrapText="1"/>
    </xf>
    <xf numFmtId="0" fontId="5" fillId="10" borderId="28" xfId="0" applyFont="1" applyFill="1" applyBorder="1" applyAlignment="1">
      <alignment wrapText="1"/>
    </xf>
    <xf numFmtId="0" fontId="5" fillId="10" borderId="1" xfId="2" applyFont="1" applyFill="1" applyBorder="1" applyAlignment="1">
      <alignment wrapText="1"/>
    </xf>
    <xf numFmtId="0" fontId="5" fillId="10" borderId="2" xfId="0" applyFont="1" applyFill="1" applyBorder="1" applyAlignment="1">
      <alignment wrapText="1"/>
    </xf>
    <xf numFmtId="0" fontId="5" fillId="11" borderId="2" xfId="0" applyFont="1" applyFill="1" applyBorder="1" applyAlignment="1">
      <alignment wrapText="1"/>
    </xf>
    <xf numFmtId="2" fontId="3" fillId="2" borderId="1" xfId="0" applyNumberFormat="1" applyFont="1" applyFill="1" applyBorder="1"/>
    <xf numFmtId="164" fontId="4" fillId="7" borderId="39" xfId="1" applyFont="1" applyFill="1" applyBorder="1" applyAlignment="1">
      <alignment horizontal="center"/>
    </xf>
    <xf numFmtId="164" fontId="16" fillId="2" borderId="29" xfId="1" applyFont="1" applyFill="1" applyBorder="1" applyAlignment="1">
      <alignment horizontal="right"/>
    </xf>
    <xf numFmtId="164" fontId="4" fillId="0" borderId="13" xfId="1" applyFont="1" applyBorder="1"/>
    <xf numFmtId="164" fontId="26" fillId="0" borderId="0" xfId="1" applyFont="1"/>
    <xf numFmtId="164" fontId="4" fillId="0" borderId="20" xfId="1" applyFont="1" applyBorder="1" applyAlignment="1">
      <alignment horizontal="center"/>
    </xf>
    <xf numFmtId="164" fontId="3" fillId="0" borderId="21" xfId="1" applyFont="1" applyBorder="1"/>
    <xf numFmtId="0" fontId="0" fillId="12" borderId="0" xfId="0" applyFill="1"/>
    <xf numFmtId="0" fontId="5" fillId="10" borderId="0" xfId="0" applyFont="1" applyFill="1"/>
    <xf numFmtId="164" fontId="5" fillId="10" borderId="0" xfId="1" applyFont="1" applyFill="1"/>
    <xf numFmtId="164" fontId="3" fillId="10" borderId="0" xfId="1" applyFont="1" applyFill="1"/>
    <xf numFmtId="0" fontId="5" fillId="10" borderId="7" xfId="0" applyFont="1" applyFill="1" applyBorder="1"/>
    <xf numFmtId="0" fontId="5" fillId="10" borderId="8" xfId="0" applyFont="1" applyFill="1" applyBorder="1"/>
    <xf numFmtId="0" fontId="3" fillId="10" borderId="25" xfId="0" applyFont="1" applyFill="1" applyBorder="1"/>
    <xf numFmtId="164" fontId="3" fillId="10" borderId="1" xfId="1" applyFont="1" applyFill="1" applyBorder="1" applyAlignment="1">
      <alignment horizontal="center"/>
    </xf>
    <xf numFmtId="0" fontId="3" fillId="10" borderId="2" xfId="0" applyFont="1" applyFill="1" applyBorder="1" applyAlignment="1">
      <alignment wrapText="1"/>
    </xf>
    <xf numFmtId="0" fontId="3" fillId="10" borderId="7" xfId="0" applyFont="1" applyFill="1" applyBorder="1"/>
    <xf numFmtId="0" fontId="5" fillId="10" borderId="43" xfId="0" applyFont="1" applyFill="1" applyBorder="1" applyAlignment="1">
      <alignment wrapText="1"/>
    </xf>
    <xf numFmtId="164" fontId="4" fillId="10" borderId="0" xfId="1" applyFont="1" applyFill="1"/>
    <xf numFmtId="49" fontId="3" fillId="10" borderId="0" xfId="0" applyNumberFormat="1" applyFont="1" applyFill="1" applyAlignment="1">
      <alignment horizontal="right"/>
    </xf>
    <xf numFmtId="0" fontId="5" fillId="2" borderId="2" xfId="2" applyFont="1" applyFill="1" applyBorder="1" applyAlignment="1">
      <alignment horizontal="left" vertical="center" wrapText="1" indent="1"/>
    </xf>
    <xf numFmtId="0" fontId="3" fillId="11" borderId="25" xfId="0" applyFont="1" applyFill="1" applyBorder="1"/>
    <xf numFmtId="0" fontId="3" fillId="11" borderId="1" xfId="1" applyNumberFormat="1" applyFont="1" applyFill="1" applyBorder="1" applyAlignment="1">
      <alignment horizontal="center" vertical="center"/>
    </xf>
    <xf numFmtId="164" fontId="3" fillId="11" borderId="1" xfId="1" applyFont="1" applyFill="1" applyBorder="1" applyAlignment="1">
      <alignment horizontal="center"/>
    </xf>
    <xf numFmtId="0" fontId="3" fillId="11" borderId="2" xfId="0" applyFont="1" applyFill="1" applyBorder="1"/>
    <xf numFmtId="0" fontId="5" fillId="11" borderId="28" xfId="0" applyFont="1" applyFill="1" applyBorder="1" applyAlignment="1">
      <alignment wrapText="1"/>
    </xf>
    <xf numFmtId="0" fontId="5" fillId="11" borderId="2" xfId="0" applyFont="1" applyFill="1" applyBorder="1"/>
    <xf numFmtId="164" fontId="3" fillId="11" borderId="3" xfId="1" applyFont="1" applyFill="1" applyBorder="1" applyAlignment="1">
      <alignment horizontal="center"/>
    </xf>
    <xf numFmtId="0" fontId="5" fillId="11" borderId="1" xfId="0" applyFont="1" applyFill="1" applyBorder="1" applyAlignment="1">
      <alignment horizontal="right"/>
    </xf>
    <xf numFmtId="0" fontId="36" fillId="10" borderId="1" xfId="2" applyFont="1" applyFill="1" applyBorder="1"/>
    <xf numFmtId="0" fontId="37" fillId="11" borderId="0" xfId="0" applyFont="1" applyFill="1"/>
    <xf numFmtId="0" fontId="4" fillId="0" borderId="5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4" fontId="4" fillId="2" borderId="20" xfId="1" applyFont="1" applyFill="1" applyBorder="1" applyAlignment="1">
      <alignment horizontal="center"/>
    </xf>
    <xf numFmtId="164" fontId="4" fillId="0" borderId="30" xfId="1" applyFont="1" applyBorder="1" applyAlignment="1">
      <alignment horizontal="center"/>
    </xf>
    <xf numFmtId="164" fontId="4" fillId="0" borderId="31" xfId="1" applyFont="1" applyBorder="1" applyAlignment="1">
      <alignment horizontal="center"/>
    </xf>
    <xf numFmtId="164" fontId="4" fillId="0" borderId="32" xfId="1" applyFont="1" applyBorder="1" applyAlignment="1">
      <alignment horizontal="center"/>
    </xf>
    <xf numFmtId="164" fontId="4" fillId="0" borderId="7" xfId="1" applyFont="1" applyBorder="1" applyAlignment="1">
      <alignment horizontal="center"/>
    </xf>
    <xf numFmtId="164" fontId="4" fillId="0" borderId="0" xfId="1" applyFont="1" applyBorder="1" applyAlignment="1">
      <alignment horizontal="center"/>
    </xf>
    <xf numFmtId="164" fontId="4" fillId="0" borderId="8" xfId="1" applyFont="1" applyBorder="1" applyAlignment="1">
      <alignment horizontal="center"/>
    </xf>
    <xf numFmtId="164" fontId="4" fillId="0" borderId="9" xfId="1" applyFont="1" applyBorder="1" applyAlignment="1">
      <alignment horizontal="center"/>
    </xf>
    <xf numFmtId="164" fontId="4" fillId="0" borderId="10" xfId="1" applyFont="1" applyBorder="1" applyAlignment="1">
      <alignment horizontal="center"/>
    </xf>
    <xf numFmtId="164" fontId="4" fillId="0" borderId="11" xfId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164" fontId="4" fillId="0" borderId="0" xfId="1" applyFont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29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164" fontId="19" fillId="2" borderId="20" xfId="1" applyFont="1" applyFill="1" applyBorder="1" applyAlignment="1">
      <alignment horizontal="center"/>
    </xf>
    <xf numFmtId="164" fontId="19" fillId="0" borderId="30" xfId="1" applyFont="1" applyBorder="1" applyAlignment="1">
      <alignment horizontal="center"/>
    </xf>
    <xf numFmtId="164" fontId="19" fillId="0" borderId="31" xfId="1" applyFont="1" applyBorder="1" applyAlignment="1">
      <alignment horizontal="center"/>
    </xf>
    <xf numFmtId="164" fontId="19" fillId="0" borderId="32" xfId="1" applyFont="1" applyBorder="1" applyAlignment="1">
      <alignment horizontal="center"/>
    </xf>
    <xf numFmtId="164" fontId="19" fillId="0" borderId="7" xfId="1" applyFont="1" applyBorder="1" applyAlignment="1">
      <alignment horizontal="center"/>
    </xf>
    <xf numFmtId="164" fontId="19" fillId="0" borderId="0" xfId="1" applyFont="1" applyBorder="1" applyAlignment="1">
      <alignment horizontal="center"/>
    </xf>
    <xf numFmtId="164" fontId="19" fillId="0" borderId="8" xfId="1" applyFont="1" applyBorder="1" applyAlignment="1">
      <alignment horizontal="center"/>
    </xf>
    <xf numFmtId="164" fontId="19" fillId="0" borderId="9" xfId="1" applyFont="1" applyBorder="1" applyAlignment="1">
      <alignment horizontal="center"/>
    </xf>
    <xf numFmtId="164" fontId="19" fillId="0" borderId="10" xfId="1" applyFont="1" applyBorder="1" applyAlignment="1">
      <alignment horizontal="center"/>
    </xf>
    <xf numFmtId="164" fontId="19" fillId="0" borderId="11" xfId="1" applyFon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170"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sz val="14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sz val="14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B05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B05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sz val="16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ércio Bobo" id="{B90D6950-5E5E-42FE-ADC1-5C4BBF7BA5C7}" userId="dbobo@entretech.co.mz" providerId="PeoplePicker"/>
  <person displayName="Claudia Machava" id="{187A2D47-A0BC-40EF-8C8D-97234B2AE96E}" userId="cmachava@entretech.co.mz" providerId="PeoplePicker"/>
  <person displayName="Apps Entretech" id="{275D0047-320F-4D29-996F-7FFF617F9EF7}" userId="S::apps@entretech.co.mz::f8869ddd-a1f4-491d-9a22-a25efec99f0d" providerId="AD"/>
  <person displayName="Dércio Bobo" id="{47AD6D22-8C62-412C-8937-0C984DF50EED}" userId="S::dbobo@entretech.co.mz::e09c91a8-fede-40f2-8fa6-d7debb7ec48e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53CB05-8A3F-4776-87C0-A8D4A86B4D9F}" name="Table1" displayName="Table1" ref="A3:H18" totalsRowShown="0" headerRowDxfId="157" headerRowBorderDxfId="156" tableBorderDxfId="155" totalsRowBorderDxfId="154">
  <autoFilter ref="A3:H18" xr:uid="{2A53CB05-8A3F-4776-87C0-A8D4A86B4D9F}"/>
  <tableColumns count="8">
    <tableColumn id="1" xr3:uid="{8AC82469-7859-4BA0-8F59-59528FAC5057}" name="Descricao " dataDxfId="153"/>
    <tableColumn id="2" xr3:uid="{9FCFE323-5026-417D-AB8D-9416B9211443}" name="Valor" dataDxfId="152"/>
    <tableColumn id="3" xr3:uid="{0A3DBB75-EE05-4111-B28C-B5FEB143D0B9}" name="Prioridade" dataDxfId="151"/>
    <tableColumn id="4" xr3:uid="{DAA8D3BA-6B5D-4887-A963-E1A799FB4763}" name="Estado"/>
    <tableColumn id="5" xr3:uid="{F7FD441B-4348-417D-96B7-5E778D73141B}" name="Valor Pago" dataDxfId="150">
      <calculatedColumnFormula>IF(D4="Pago",B4,)</calculatedColumnFormula>
    </tableColumn>
    <tableColumn id="10" xr3:uid="{92D09F64-2CC6-4BFD-B7B6-11103F2AB74D}" name="Factura" dataDxfId="149"/>
    <tableColumn id="6" xr3:uid="{634AA3F1-E7C4-45E6-B28D-B54D6D2F08DE}" name="Metodo de PG" dataDxfId="148"/>
    <tableColumn id="7" xr3:uid="{746C7C3B-4BC7-4C9A-B97B-C31B0716EFA9}" name="Observações" dataDxfId="14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552BAB-49A7-4B4D-A214-C0A51585E81F}" name="Table14" displayName="Table14" ref="A3:H25" totalsRowShown="0" headerRowDxfId="146" headerRowBorderDxfId="145" tableBorderDxfId="144" totalsRowBorderDxfId="143">
  <autoFilter ref="A3:H25" xr:uid="{CA552BAB-49A7-4B4D-A214-C0A51585E81F}"/>
  <tableColumns count="8">
    <tableColumn id="1" xr3:uid="{5D5878C3-1DEA-491E-BC66-3213F422C1CC}" name="Descricao " dataDxfId="142"/>
    <tableColumn id="2" xr3:uid="{C3CC77FF-7087-48D8-AAFF-A69CC9BFF8E9}" name="Valor" dataDxfId="141"/>
    <tableColumn id="3" xr3:uid="{0384C5F6-1909-42C9-8B5A-41044C5A9321}" name="Prioridade" dataDxfId="140"/>
    <tableColumn id="4" xr3:uid="{E7C633BB-C98C-43A5-9D46-482AB0FEB80E}" name="Estado"/>
    <tableColumn id="5" xr3:uid="{86B92C77-14A2-4C27-9E22-87D74DC7AE33}" name="Column1" dataDxfId="139">
      <calculatedColumnFormula>IF(D4="Pago",B4,)</calculatedColumnFormula>
    </tableColumn>
    <tableColumn id="8" xr3:uid="{5BC12A06-8C24-4179-BF8E-230729A9D920}" name="Factura de compra" dataDxfId="138"/>
    <tableColumn id="6" xr3:uid="{3D11C7FD-49A2-4B2D-8913-4331E112F4A6}" name="Metodo de PG" dataDxfId="137"/>
    <tableColumn id="7" xr3:uid="{8830CC73-1339-43EE-86CD-FE15C5B2AEAD}" name="Observações" dataDxfId="1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4E279A-19E0-45CA-B377-00B0066119D4}" name="Table145" displayName="Table145" ref="A3:H20" totalsRowShown="0" headerRowDxfId="135" headerRowBorderDxfId="134" tableBorderDxfId="133" totalsRowBorderDxfId="132">
  <autoFilter ref="A3:H20" xr:uid="{C34E279A-19E0-45CA-B377-00B0066119D4}"/>
  <tableColumns count="8">
    <tableColumn id="1" xr3:uid="{8518254B-C22C-4688-9E73-8391753B5E03}" name="Descricao " dataDxfId="131"/>
    <tableColumn id="2" xr3:uid="{AD6722E8-856C-4650-A299-7D9B5BE88C38}" name="Valor" dataDxfId="130"/>
    <tableColumn id="3" xr3:uid="{B2E230FF-0B8C-45C1-AD72-286B9D8CC51A}" name="Prioridade" dataDxfId="129"/>
    <tableColumn id="4" xr3:uid="{A336542E-3A29-438F-9410-F2A9766A4C7F}" name="Estado"/>
    <tableColumn id="5" xr3:uid="{67C65458-1722-4827-9310-F9645B517CB2}" name="Column1" dataDxfId="128">
      <calculatedColumnFormula>IF(D4="Pago",B4,)</calculatedColumnFormula>
    </tableColumn>
    <tableColumn id="8" xr3:uid="{E1225AE3-76A4-4E37-BB6E-8009A2C8BB35}" name="Factura de compra" dataDxfId="127"/>
    <tableColumn id="6" xr3:uid="{E79505DC-929A-41C1-98FB-181DB7F36657}" name="Metodo de PG" dataDxfId="126"/>
    <tableColumn id="7" xr3:uid="{6F2A831C-9D64-4A97-A0D1-D3D5D01F8DA5}" name="Observações" dataDxfId="1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60A92E-173E-43FC-9904-267D9F600499}" name="Table1453" displayName="Table1453" ref="A3:H26" totalsRowShown="0" headerRowDxfId="124" dataDxfId="122" headerRowBorderDxfId="123" tableBorderDxfId="121" totalsRowBorderDxfId="120">
  <autoFilter ref="A3:H26" xr:uid="{0860A92E-173E-43FC-9904-267D9F600499}"/>
  <tableColumns count="8">
    <tableColumn id="1" xr3:uid="{9E42B467-7ADB-432A-90A8-2BC89AE97482}" name="Descricao " dataDxfId="119"/>
    <tableColumn id="2" xr3:uid="{0E37CC5A-C37E-4D68-AAD6-8D4D2B11A580}" name="Valor" dataDxfId="118"/>
    <tableColumn id="3" xr3:uid="{A0F74548-68F5-4F23-82FB-5F4792B51329}" name="Prioridade" dataDxfId="117"/>
    <tableColumn id="4" xr3:uid="{0CE6FF43-1469-4AAA-988F-DB03EDA572EF}" name="Estado" dataDxfId="116"/>
    <tableColumn id="5" xr3:uid="{BE4B4995-5F91-4EB7-BADB-9718F8BFE2B5}" name="Column1" dataDxfId="115">
      <calculatedColumnFormula>IF(D4="Pago",B4,)</calculatedColumnFormula>
    </tableColumn>
    <tableColumn id="8" xr3:uid="{BE03635E-DE2B-4D6D-82ED-A12815727E7A}" name="Column2" dataDxfId="114"/>
    <tableColumn id="6" xr3:uid="{35B8E2A4-DE9D-4448-A259-8D179C891AE8}" name="Metodo de PG" dataDxfId="113"/>
    <tableColumn id="7" xr3:uid="{C7E4DE3F-A5F3-439F-A561-0821CA6A1605}" name="Observações" dataDxfId="1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7C6372-B4FB-49CC-A3E6-17BB1758A087}" name="Table14537" displayName="Table14537" ref="A3:H22" totalsRowShown="0" headerRowDxfId="111" dataDxfId="109" headerRowBorderDxfId="110" tableBorderDxfId="108" totalsRowBorderDxfId="107">
  <autoFilter ref="A3:H22" xr:uid="{DB7C6372-B4FB-49CC-A3E6-17BB1758A087}"/>
  <tableColumns count="8">
    <tableColumn id="1" xr3:uid="{6585BF7C-7F42-4D31-95AF-49D17C5CE4F0}" name="Descricao " dataDxfId="106"/>
    <tableColumn id="2" xr3:uid="{8E51FB01-C546-4DF9-B53A-2D92958BAADB}" name="Valor" dataDxfId="105"/>
    <tableColumn id="3" xr3:uid="{BFF34563-81C8-4C8E-80BB-8DDEB995512C}" name="Prioridade" dataDxfId="104"/>
    <tableColumn id="4" xr3:uid="{BE1C1AD6-6E2D-4623-866C-14F3F8E8FD5D}" name="Estado" dataDxfId="103"/>
    <tableColumn id="5" xr3:uid="{ED228153-97D4-48AB-AB0C-4E77A8FB32F2}" name="Column1" dataDxfId="102">
      <calculatedColumnFormula>IF(D4="Pago",B4,)</calculatedColumnFormula>
    </tableColumn>
    <tableColumn id="8" xr3:uid="{68B8D1E1-CFDC-41CD-8AF3-48BDB7D158D4}" name="Factura" dataDxfId="101"/>
    <tableColumn id="6" xr3:uid="{3D4B1E45-A863-4952-B0AA-EAAB26471F2A}" name="Metodo de PG" dataDxfId="100"/>
    <tableColumn id="7" xr3:uid="{F71CC83E-F3ED-4FE1-8D92-9B6BDA6837A3}" name="Observações" dataDxfId="9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BEB7B1-1A9C-4BF9-A86F-5AAF6E3ABA9C}" name="Table145376" displayName="Table145376" ref="A3:H23" totalsRowShown="0" headerRowDxfId="98" dataDxfId="96" headerRowBorderDxfId="97" tableBorderDxfId="95" totalsRowBorderDxfId="94">
  <autoFilter ref="A3:H23" xr:uid="{1FBEB7B1-1A9C-4BF9-A86F-5AAF6E3ABA9C}"/>
  <tableColumns count="8">
    <tableColumn id="1" xr3:uid="{A66ACC5C-B4D0-425C-9D88-4A93F79A8DE0}" name="Descricao " dataDxfId="93"/>
    <tableColumn id="2" xr3:uid="{497AAE47-56A8-4794-A88D-D31626912458}" name="Valor" dataDxfId="92"/>
    <tableColumn id="3" xr3:uid="{0CE8362A-2FFB-4379-8A9A-931DE39718BC}" name="Prioridade" dataDxfId="91"/>
    <tableColumn id="4" xr3:uid="{4EF5AA7C-75D0-48EE-9E69-C3A55BBF855A}" name="Estado" dataDxfId="90"/>
    <tableColumn id="5" xr3:uid="{22B212FE-10D9-4385-B780-8915F3EEB36E}" name="Column1" dataDxfId="89">
      <calculatedColumnFormula>IF(D4="Pago",B4,)</calculatedColumnFormula>
    </tableColumn>
    <tableColumn id="8" xr3:uid="{844EB70B-30CF-4E61-BC87-F6D3C8FFC3C6}" name="Factura" dataDxfId="88"/>
    <tableColumn id="6" xr3:uid="{6E1F3265-9443-47C1-B0D2-ADE5125DB6A1}" name="Metodo de PG" dataDxfId="87"/>
    <tableColumn id="7" xr3:uid="{106F5121-0E4A-4968-8B76-BA700F3765AB}" name="Observações" dataDxfId="8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82AE10-1F9E-4EDD-A132-E2D1138D121D}" name="Table14537610" displayName="Table14537610" ref="A3:G28" totalsRowShown="0" headerRowDxfId="85" dataDxfId="83" headerRowBorderDxfId="84" tableBorderDxfId="82" totalsRowBorderDxfId="81">
  <autoFilter ref="A3:G28" xr:uid="{C682AE10-1F9E-4EDD-A132-E2D1138D121D}"/>
  <tableColumns count="7">
    <tableColumn id="1" xr3:uid="{8B1E303A-8455-49A4-B32F-99925F31E5A9}" name="Descricao " dataDxfId="80"/>
    <tableColumn id="2" xr3:uid="{E09B926C-FA95-45EC-A07C-E3E855113E11}" name="Valor" dataDxfId="79"/>
    <tableColumn id="3" xr3:uid="{CBEAC55D-E020-4243-83A7-1F552060C7DC}" name="Priority" dataDxfId="78"/>
    <tableColumn id="4" xr3:uid="{126F21CC-5F2B-4C89-86A7-2A1080AD5C1E}" name="Estado" dataDxfId="77"/>
    <tableColumn id="5" xr3:uid="{D01907C7-59FB-4E1C-9668-B52B0A6276B0}" name="Column1" dataDxfId="76">
      <calculatedColumnFormula>IF(D4="Pago",B4,)</calculatedColumnFormula>
    </tableColumn>
    <tableColumn id="6" xr3:uid="{F5474612-6471-4187-8BFD-7A821327BDDB}" name="Metodo de PG" dataDxfId="75"/>
    <tableColumn id="7" xr3:uid="{A8DECF79-6952-456E-A391-853C88AEB3F9}" name="Observações" dataDxfId="7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8A98B71-0B5A-44B0-A833-9AE46C9FCE25}" name="Table1453761011" displayName="Table1453761011" ref="A3:G26" totalsRowShown="0" headerRowDxfId="73" dataDxfId="71" headerRowBorderDxfId="72" tableBorderDxfId="70" totalsRowBorderDxfId="69">
  <autoFilter ref="A3:G26" xr:uid="{28A98B71-0B5A-44B0-A833-9AE46C9FCE25}"/>
  <tableColumns count="7">
    <tableColumn id="1" xr3:uid="{335DB345-A6CE-4FE9-B72A-C26A2F818D6D}" name="Descricao " dataDxfId="68"/>
    <tableColumn id="2" xr3:uid="{281A0B54-AED6-4B8D-A75B-E3D0B54E1509}" name="Valor" dataDxfId="67"/>
    <tableColumn id="3" xr3:uid="{0841C82B-49A3-4400-81A1-BB8CF771CFF5}" name="Prioridade" dataDxfId="66"/>
    <tableColumn id="4" xr3:uid="{19D399A6-04E0-4F47-8AD9-F20D10EEFBBA}" name="Estado" dataDxfId="65"/>
    <tableColumn id="5" xr3:uid="{5EDB5DE6-FA10-41D4-AEC6-297D55A347EF}" name="Column1" dataDxfId="64">
      <calculatedColumnFormula>IF(D4="Pago",B4,)</calculatedColumnFormula>
    </tableColumn>
    <tableColumn id="6" xr3:uid="{D1A4BF30-69E7-49D1-8AC8-1F974E8559BE}" name="Metodo de PG" dataDxfId="63"/>
    <tableColumn id="7" xr3:uid="{4FF37B3D-5DF8-4787-ACDC-B38F5482795E}" name="Observações" dataDxfId="6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22B309F-0DCC-493C-8C72-E9C5C75B5491}" name="Table1453761013" displayName="Table1453761013" ref="A3:G23" totalsRowShown="0" headerRowDxfId="169" dataDxfId="167" headerRowBorderDxfId="168" tableBorderDxfId="166" totalsRowBorderDxfId="165">
  <autoFilter ref="A3:G23" xr:uid="{122B309F-0DCC-493C-8C72-E9C5C75B5491}"/>
  <tableColumns count="7">
    <tableColumn id="1" xr3:uid="{66793AFB-96E9-46E3-AF68-ECC80A90ADB2}" name="Descricao " dataDxfId="164"/>
    <tableColumn id="2" xr3:uid="{68E40866-2540-40A0-9E84-40B06D4EC57F}" name="Valor" dataDxfId="163" dataCellStyle="Comma"/>
    <tableColumn id="3" xr3:uid="{23708D35-7717-4B64-AA10-E71B86A7295D}" name="Prioridade" dataDxfId="162"/>
    <tableColumn id="4" xr3:uid="{4BCFB771-C3D5-4241-A37C-F7D3FF843FB2}" name="Estado" dataDxfId="161"/>
    <tableColumn id="5" xr3:uid="{166B6142-35C2-4954-808A-A67424B7ED1C}" name="Column1" dataDxfId="160">
      <calculatedColumnFormula>IF(D4="Pago",B4,)</calculatedColumnFormula>
    </tableColumn>
    <tableColumn id="6" xr3:uid="{BFCC50AB-5ABF-4558-AF01-B1C2AEE1A03C}" name="Metodo de PG" dataDxfId="159"/>
    <tableColumn id="7" xr3:uid="{2C24DFF4-E82E-4787-874E-338B071B5CD2}" name="Observações" dataDxfId="15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A626ECE-DBBA-45BE-999C-1E72A9609AD5}" name="Table1453761012" displayName="Table1453761012" ref="A3:G23" totalsRowShown="0" headerRowDxfId="61" dataDxfId="59" headerRowBorderDxfId="60" tableBorderDxfId="58" totalsRowBorderDxfId="57">
  <autoFilter ref="A3:G23" xr:uid="{3A626ECE-DBBA-45BE-999C-1E72A9609AD5}"/>
  <tableColumns count="7">
    <tableColumn id="1" xr3:uid="{4F9A8DBE-B074-463B-B20B-401E8D82AF7C}" name="Descricao " dataDxfId="56"/>
    <tableColumn id="2" xr3:uid="{4B1A6941-59D7-436B-804B-53D4D0E0C378}" name="Valor" dataDxfId="55"/>
    <tableColumn id="3" xr3:uid="{7E0F686B-CD32-4B0F-82B4-32E49CE632E5}" name="Prioridade" dataDxfId="54"/>
    <tableColumn id="4" xr3:uid="{877B4218-ABAE-4343-9430-4BA918A393CA}" name="Estado" dataDxfId="53"/>
    <tableColumn id="5" xr3:uid="{359F50E1-FF3C-4DAE-BDFA-70A5EB68F672}" name="Column1" dataDxfId="52">
      <calculatedColumnFormula>IF(D4="Pago",B4,)</calculatedColumnFormula>
    </tableColumn>
    <tableColumn id="6" xr3:uid="{A7CD5B77-BC97-4B56-94A0-8F10343F8DB9}" name="Metodo de PG" dataDxfId="51"/>
    <tableColumn id="7" xr3:uid="{7450BB3C-3232-46D5-82F4-406A27D928C8}" name="Observações" dataDxfId="5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727564-8079-4480-9BBF-FD7292486D1F}" name="Table1453769" displayName="Table1453769" ref="A3:G11" totalsRowShown="0" headerRowDxfId="49" dataDxfId="47" headerRowBorderDxfId="48" tableBorderDxfId="46" totalsRowBorderDxfId="45">
  <autoFilter ref="A3:G11" xr:uid="{9F727564-8079-4480-9BBF-FD7292486D1F}">
    <filterColumn colId="3">
      <filters blank="1"/>
    </filterColumn>
  </autoFilter>
  <tableColumns count="7">
    <tableColumn id="1" xr3:uid="{455D64A0-7F2A-412F-8E1E-4BABE0E984ED}" name="Descricao " dataDxfId="44"/>
    <tableColumn id="2" xr3:uid="{B0C43A71-01B2-412D-82B9-DB2E82FD8998}" name="Valor" dataDxfId="43"/>
    <tableColumn id="3" xr3:uid="{D36D4BDA-921F-4D1D-9A12-AF659E945002}" name="Prioridade" dataDxfId="42"/>
    <tableColumn id="4" xr3:uid="{1EED902E-E715-4448-B628-DE88AA541A13}" name="Estado" dataDxfId="41"/>
    <tableColumn id="5" xr3:uid="{2A954FFB-BBDB-4D47-A132-C9528031EC28}" name="Column1" dataDxfId="40">
      <calculatedColumnFormula>IF(D4="Pago",B4,)</calculatedColumnFormula>
    </tableColumn>
    <tableColumn id="6" xr3:uid="{D3138F39-AB2D-416F-873C-738FC7588FD6}" name="Metodo de PG" dataDxfId="39"/>
    <tableColumn id="7" xr3:uid="{F2301ED0-B09A-47C1-A0ED-D27C425F586D}" name="Observações" dataDxfId="3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6-02-24T10:24:06.87" personId="{275D0047-320F-4D29-996F-7FFF617F9EF7}" id="{CCA250AE-ECF7-4DA7-A728-1955C10DBEA8}">
    <text>O valor aumentou devido a nova contratação</text>
  </threadedComment>
  <threadedComment ref="B17" dT="2026-02-23T15:02:41.56" personId="{275D0047-320F-4D29-996F-7FFF617F9EF7}" id="{2C202AB5-419C-4022-BEED-D6868A83262D}">
    <text>2000 mts para Aristides
5000mts para Hidelgio
3000mts para Jonas
2000mts para Edmilson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" dT="2026-06-24T12:54:18.23" personId="{275D0047-320F-4D29-996F-7FFF617F9EF7}" id="{8E5B0787-171B-4062-8BAB-DCF00B6D2386}">
    <text>Salario minimo subiu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4" dT="2026-06-24T12:54:18.23" personId="{275D0047-320F-4D29-996F-7FFF617F9EF7}" id="{F2FD9DEB-7E0E-4B05-9973-FF3BDBC0155F}">
    <text>Salario minimo subiu</text>
  </threadedComment>
  <threadedComment ref="A21" dT="2026-07-30T14:04:50.71" personId="{47AD6D22-8C62-412C-8937-0C984DF50EED}" id="{EA1A5510-621A-4A62-880C-4DD35DBE9408}">
    <text>@Claudia Machava  peço que aloques no proximo mes</text>
    <mentions>
      <mention mentionpersonId="{187A2D47-A0BC-40EF-8C8D-97234B2AE96E}" mentionId="{5870A0F5-3E7D-4CE8-8831-E162BF3062AD}" startIndex="0" length="16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4" dT="2026-06-24T12:54:18.23" personId="{275D0047-320F-4D29-996F-7FFF617F9EF7}" id="{B8519FFB-289A-4628-BE4C-2CF5C01F1B78}">
    <text>Salario minimo subiu</text>
  </threadedComment>
  <threadedComment ref="A19" dT="2026-07-15T08:03:47.37" personId="{47AD6D22-8C62-412C-8937-0C984DF50EED}" id="{C757096E-A408-46F3-B6C7-83BA83CFCD9C}">
    <text xml:space="preserve">Quais cores @Claudia Machava </text>
    <mentions>
      <mention mentionpersonId="{187A2D47-A0BC-40EF-8C8D-97234B2AE96E}" mentionId="{BAB8D32A-8E40-468B-A113-BE647191EBAF}" startIndex="12" length="16"/>
    </mentions>
  </threadedComment>
  <threadedComment ref="A19" dT="2026-07-15T08:10:09.96" personId="{275D0047-320F-4D29-996F-7FFF617F9EF7}" id="{DFB9C938-B7A3-46E3-BF73-327D0A6F2C15}" parentId="{C757096E-A408-46F3-B6C7-83BA83CFCD9C}">
    <text xml:space="preserve">@Dércio Bobo Azul e Magenta </text>
    <mentions>
      <mention mentionpersonId="{B90D6950-5E5E-42FE-ADC1-5C4BBF7BA5C7}" mentionId="{F4F89F77-E4A4-4A29-9A55-66B823730BF2}" startIndex="0" length="12"/>
    </mentions>
  </threadedComment>
  <threadedComment ref="A19" dT="2026-07-15T08:58:57.07" personId="{47AD6D22-8C62-412C-8937-0C984DF50EED}" id="{CB7A8804-981B-4597-B1D0-235C7A22EEF8}" parentId="{C757096E-A408-46F3-B6C7-83BA83CFCD9C}">
    <text>Podes colocar ai na Descrição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4" dT="2026-06-24T12:54:18.23" personId="{275D0047-320F-4D29-996F-7FFF617F9EF7}" id="{D2B6644F-4CAB-4EB0-A2FD-022B547D569A}">
    <text>Salario minimo subiu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rp.entretech.co.mz/app/purchase-invoice/FT-FORN%2F26%2F012" TargetMode="External"/><Relationship Id="rId2" Type="http://schemas.openxmlformats.org/officeDocument/2006/relationships/hyperlink" Target="https://erp.entretech.co.mz/app/purchase-invoice/FT-FORN%2F26%2F011" TargetMode="External"/><Relationship Id="rId1" Type="http://schemas.openxmlformats.org/officeDocument/2006/relationships/hyperlink" Target="https://erp.entretech.co.mz/app/purchase-invoice/FT-FORN%2F26%2F010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erp.entretech.co.mz/app/purchase-invoice/FT-FORN%2F26%2F157" TargetMode="External"/><Relationship Id="rId4" Type="http://schemas.openxmlformats.org/officeDocument/2006/relationships/hyperlink" Target="https://erp.entretech.co.mz/app/purchase-invoice/FT-FORN%2F26%2F026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rp.entretech.co.mz/app/purchase-invoice/FT-FORN%2F26%2F158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erp.entretech.co.mz/app/purchase-invoice/FT-FORN%2F26%2F066" TargetMode="External"/><Relationship Id="rId1" Type="http://schemas.openxmlformats.org/officeDocument/2006/relationships/hyperlink" Target="https://erp.entretech.co.mz/app/purchase-invoice/FT-FORN%2F26%2F148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erp.entretech.co.mz/app/purchase-invoice/FT-FORN%2F26%2F076" TargetMode="External"/><Relationship Id="rId1" Type="http://schemas.openxmlformats.org/officeDocument/2006/relationships/hyperlink" Target="https://erp.entretech.co.mz/app/purchase-invoice/FT-FORN%2F26%2F075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erp.entretech.co.mz/app/purchase-invoice/FT-FORN%2F26%2F081" TargetMode="External"/><Relationship Id="rId2" Type="http://schemas.openxmlformats.org/officeDocument/2006/relationships/hyperlink" Target="https://erp.entretech.co.mz/app/purchase-invoice/FT-FORN%2F26%2F080" TargetMode="External"/><Relationship Id="rId1" Type="http://schemas.openxmlformats.org/officeDocument/2006/relationships/hyperlink" Target="https://erp.entretech.co.mz/app/purchase-invoice/FT-FORN%2F26%2F150" TargetMode="Externa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erp.entretech.co.mz/app/purchase-invoice/FT-FORN%2F26%2F152" TargetMode="External"/><Relationship Id="rId2" Type="http://schemas.openxmlformats.org/officeDocument/2006/relationships/hyperlink" Target="https://erp.entretech.co.mz/app/purchase-invoice/FT-FORN%2F26%2F153" TargetMode="External"/><Relationship Id="rId1" Type="http://schemas.openxmlformats.org/officeDocument/2006/relationships/hyperlink" Target="https://erp.entretech.co.mz/app/purchase-invoice/FT-FORN%2F26%2F124" TargetMode="External"/><Relationship Id="rId5" Type="http://schemas.openxmlformats.org/officeDocument/2006/relationships/table" Target="../tables/table5.xml"/><Relationship Id="rId4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erp.entretech.co.mz/app/purchase-invoice/FT-FORN%2F26%2F156" TargetMode="External"/><Relationship Id="rId7" Type="http://schemas.microsoft.com/office/2017/10/relationships/threadedComment" Target="../threadedComments/threadedComment2.xml"/><Relationship Id="rId2" Type="http://schemas.openxmlformats.org/officeDocument/2006/relationships/hyperlink" Target="https://erp.entretech.co.mz/app/purchase-invoice/FT-FORN%2F26%2F154" TargetMode="External"/><Relationship Id="rId1" Type="http://schemas.openxmlformats.org/officeDocument/2006/relationships/hyperlink" Target="https://erp.entretech.co.mz/app/purchase-order/PUR-ORD-2026-00017" TargetMode="External"/><Relationship Id="rId6" Type="http://schemas.openxmlformats.org/officeDocument/2006/relationships/comments" Target="../comments2.xml"/><Relationship Id="rId5" Type="http://schemas.openxmlformats.org/officeDocument/2006/relationships/table" Target="../tables/table6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erp.entretech.co.mz/app/purchase-order/PUR-ORD-2026-00006" TargetMode="External"/><Relationship Id="rId2" Type="http://schemas.openxmlformats.org/officeDocument/2006/relationships/hyperlink" Target="https://erp.entretech.co.mz/app/purchase-order/PUR-ORD-2026-00005" TargetMode="External"/><Relationship Id="rId1" Type="http://schemas.openxmlformats.org/officeDocument/2006/relationships/hyperlink" Target="https://erp.entretech.co.mz/app/purchase-order/PUR-ORD-2026-00004" TargetMode="External"/><Relationship Id="rId5" Type="http://schemas.openxmlformats.org/officeDocument/2006/relationships/table" Target="../tables/table11.xml"/><Relationship Id="rId4" Type="http://schemas.openxmlformats.org/officeDocument/2006/relationships/hyperlink" Target="https://erp.entretech.co.mz/app/purchase-order/PUR-ORD-2026-000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workbookViewId="0">
      <selection activeCell="B5" sqref="B5"/>
    </sheetView>
  </sheetViews>
  <sheetFormatPr defaultRowHeight="18"/>
  <cols>
    <col min="1" max="1" width="31" style="3" bestFit="1" customWidth="1"/>
    <col min="2" max="2" width="21.5546875" style="3" customWidth="1"/>
    <col min="3" max="3" width="16.44140625" style="3" bestFit="1" customWidth="1"/>
    <col min="4" max="4" width="16.21875" style="3" customWidth="1"/>
    <col min="5" max="6" width="15.5546875" style="3" customWidth="1"/>
    <col min="7" max="7" width="18.88671875" style="3" customWidth="1"/>
    <col min="8" max="8" width="46.6640625" style="3" customWidth="1"/>
    <col min="9" max="9" width="5.44140625" style="3" customWidth="1"/>
    <col min="10" max="10" width="13.21875" style="21" bestFit="1" customWidth="1"/>
    <col min="11" max="11" width="30.77734375" style="3" customWidth="1"/>
    <col min="12" max="16384" width="8.88671875" style="3"/>
  </cols>
  <sheetData>
    <row r="1" spans="1:12" ht="18.600000000000001" thickBot="1">
      <c r="A1" s="3" t="s">
        <v>10</v>
      </c>
      <c r="B1" s="3" t="s">
        <v>23</v>
      </c>
    </row>
    <row r="2" spans="1:12" ht="18.600000000000001" thickBot="1">
      <c r="A2" s="292" t="s">
        <v>0</v>
      </c>
      <c r="B2" s="305"/>
      <c r="C2" s="305"/>
      <c r="D2" s="305"/>
      <c r="E2" s="305"/>
      <c r="F2" s="305"/>
      <c r="G2" s="305"/>
      <c r="H2" s="306"/>
      <c r="I2" s="28"/>
    </row>
    <row r="3" spans="1:12" ht="18.600000000000001" thickBot="1">
      <c r="A3" s="82" t="s">
        <v>2</v>
      </c>
      <c r="B3" s="83" t="s">
        <v>3</v>
      </c>
      <c r="C3" s="83" t="s">
        <v>25</v>
      </c>
      <c r="D3" s="83" t="s">
        <v>8</v>
      </c>
      <c r="E3" s="83" t="s">
        <v>58</v>
      </c>
      <c r="F3" s="83" t="s">
        <v>167</v>
      </c>
      <c r="G3" s="83" t="s">
        <v>34</v>
      </c>
      <c r="H3" s="84" t="s">
        <v>9</v>
      </c>
      <c r="I3" s="74"/>
      <c r="J3" s="295" t="s">
        <v>46</v>
      </c>
      <c r="K3" s="295"/>
      <c r="L3" s="75"/>
    </row>
    <row r="4" spans="1:12" s="6" customFormat="1" ht="28.8">
      <c r="A4" s="77" t="s">
        <v>1</v>
      </c>
      <c r="B4" s="5">
        <v>12815.6</v>
      </c>
      <c r="C4" s="14">
        <v>1</v>
      </c>
      <c r="D4" s="26" t="s">
        <v>26</v>
      </c>
      <c r="E4" s="10">
        <f t="shared" ref="E4:E12" si="0">IF(D4="Pago",B4,)</f>
        <v>12815.6</v>
      </c>
      <c r="F4" s="234" t="s">
        <v>164</v>
      </c>
      <c r="G4" s="4" t="s">
        <v>33</v>
      </c>
      <c r="H4" s="30" t="s">
        <v>40</v>
      </c>
      <c r="I4" s="32"/>
      <c r="J4" s="33"/>
      <c r="L4" s="34"/>
    </row>
    <row r="5" spans="1:12" s="9" customFormat="1" ht="28.8">
      <c r="A5" s="78" t="s">
        <v>11</v>
      </c>
      <c r="B5" s="8">
        <v>10005</v>
      </c>
      <c r="C5" s="14">
        <v>1</v>
      </c>
      <c r="D5" s="27" t="s">
        <v>26</v>
      </c>
      <c r="E5" s="10">
        <f t="shared" si="0"/>
        <v>10005</v>
      </c>
      <c r="F5" s="234" t="s">
        <v>166</v>
      </c>
      <c r="G5" s="7" t="s">
        <v>33</v>
      </c>
      <c r="H5" s="31"/>
      <c r="I5" s="35"/>
      <c r="J5" s="36"/>
      <c r="K5" s="6" t="s">
        <v>20</v>
      </c>
      <c r="L5" s="37"/>
    </row>
    <row r="6" spans="1:12" s="9" customFormat="1" ht="28.8">
      <c r="A6" s="78" t="s">
        <v>13</v>
      </c>
      <c r="B6" s="43">
        <v>28431.919999999998</v>
      </c>
      <c r="C6" s="14">
        <v>1</v>
      </c>
      <c r="D6" s="76" t="s">
        <v>26</v>
      </c>
      <c r="E6" s="45">
        <f t="shared" si="0"/>
        <v>28431.919999999998</v>
      </c>
      <c r="F6" s="234" t="s">
        <v>165</v>
      </c>
      <c r="G6" s="42" t="s">
        <v>33</v>
      </c>
      <c r="H6" s="31"/>
      <c r="I6" s="35"/>
      <c r="J6" s="38">
        <f>3.92+222.88+165.68</f>
        <v>392.48</v>
      </c>
      <c r="K6" s="6" t="s">
        <v>19</v>
      </c>
      <c r="L6" s="37"/>
    </row>
    <row r="7" spans="1:12" s="9" customFormat="1" ht="28.8">
      <c r="A7" s="77" t="s">
        <v>7</v>
      </c>
      <c r="B7" s="5">
        <v>2500</v>
      </c>
      <c r="C7" s="22">
        <v>1</v>
      </c>
      <c r="D7" s="26" t="s">
        <v>26</v>
      </c>
      <c r="E7" s="10">
        <f t="shared" si="0"/>
        <v>2500</v>
      </c>
      <c r="F7" s="234" t="s">
        <v>184</v>
      </c>
      <c r="G7" s="4" t="s">
        <v>33</v>
      </c>
      <c r="H7" s="30" t="s">
        <v>15</v>
      </c>
      <c r="I7" s="32"/>
      <c r="J7" s="33">
        <f>1036.99+16649.99+1629.31</f>
        <v>19316.290000000005</v>
      </c>
      <c r="K7" s="6" t="s">
        <v>17</v>
      </c>
      <c r="L7" s="37"/>
    </row>
    <row r="8" spans="1:12" s="9" customFormat="1" ht="28.8">
      <c r="A8" s="77" t="s">
        <v>61</v>
      </c>
      <c r="B8" s="11">
        <v>3000</v>
      </c>
      <c r="C8" s="22"/>
      <c r="D8" s="26" t="s">
        <v>26</v>
      </c>
      <c r="E8" s="10">
        <f t="shared" si="0"/>
        <v>3000</v>
      </c>
      <c r="F8" s="234" t="s">
        <v>181</v>
      </c>
      <c r="G8" s="7" t="s">
        <v>33</v>
      </c>
      <c r="H8" s="31"/>
      <c r="I8" s="32"/>
      <c r="J8" s="33"/>
      <c r="K8" s="6"/>
      <c r="L8" s="37"/>
    </row>
    <row r="9" spans="1:12" s="9" customFormat="1">
      <c r="A9" s="78" t="s">
        <v>4</v>
      </c>
      <c r="B9" s="8">
        <v>7500</v>
      </c>
      <c r="C9" s="22">
        <v>1</v>
      </c>
      <c r="D9" s="27" t="s">
        <v>26</v>
      </c>
      <c r="E9" s="10">
        <f t="shared" si="0"/>
        <v>7500</v>
      </c>
      <c r="F9" s="242"/>
      <c r="G9" s="7" t="s">
        <v>33</v>
      </c>
      <c r="H9" s="31"/>
      <c r="I9" s="35"/>
      <c r="J9" s="33">
        <v>16500</v>
      </c>
      <c r="K9" s="6" t="s">
        <v>18</v>
      </c>
      <c r="L9" s="37"/>
    </row>
    <row r="10" spans="1:12" s="9" customFormat="1">
      <c r="A10" s="78" t="s">
        <v>39</v>
      </c>
      <c r="B10" s="8">
        <v>3225.43</v>
      </c>
      <c r="C10" s="22">
        <v>1</v>
      </c>
      <c r="D10" s="19" t="s">
        <v>26</v>
      </c>
      <c r="E10" s="10">
        <f t="shared" si="0"/>
        <v>3225.43</v>
      </c>
      <c r="F10" s="242"/>
      <c r="G10" s="7" t="s">
        <v>33</v>
      </c>
      <c r="H10" s="31"/>
      <c r="I10" s="35"/>
      <c r="J10" s="33">
        <f>J9+J7</f>
        <v>35816.290000000008</v>
      </c>
      <c r="L10" s="37"/>
    </row>
    <row r="11" spans="1:12" s="6" customFormat="1">
      <c r="A11" s="78" t="s">
        <v>16</v>
      </c>
      <c r="B11" s="5">
        <v>5000</v>
      </c>
      <c r="C11" s="22">
        <v>1</v>
      </c>
      <c r="D11" s="18" t="s">
        <v>26</v>
      </c>
      <c r="E11" s="10">
        <f t="shared" si="0"/>
        <v>5000</v>
      </c>
      <c r="F11" s="243"/>
      <c r="G11" s="7" t="s">
        <v>33</v>
      </c>
      <c r="H11" s="31" t="s">
        <v>45</v>
      </c>
      <c r="I11" s="35"/>
      <c r="J11" s="33"/>
      <c r="L11" s="34"/>
    </row>
    <row r="12" spans="1:12" s="6" customFormat="1">
      <c r="A12" s="78" t="s">
        <v>14</v>
      </c>
      <c r="B12" s="8">
        <v>25000</v>
      </c>
      <c r="C12" s="22"/>
      <c r="D12" s="19" t="s">
        <v>26</v>
      </c>
      <c r="E12" s="10">
        <f t="shared" si="0"/>
        <v>25000</v>
      </c>
      <c r="F12" s="243"/>
      <c r="G12" s="7" t="s">
        <v>22</v>
      </c>
      <c r="H12" s="31" t="s">
        <v>51</v>
      </c>
      <c r="I12" s="35"/>
      <c r="J12" s="41" t="s">
        <v>47</v>
      </c>
      <c r="K12" s="66" t="s">
        <v>43</v>
      </c>
      <c r="L12" s="34"/>
    </row>
    <row r="13" spans="1:12" s="6" customFormat="1">
      <c r="A13" s="77" t="s">
        <v>5</v>
      </c>
      <c r="B13" s="94" t="s">
        <v>59</v>
      </c>
      <c r="C13" s="22">
        <v>1</v>
      </c>
      <c r="D13" s="19" t="s">
        <v>26</v>
      </c>
      <c r="E13" s="95" t="s">
        <v>59</v>
      </c>
      <c r="F13" s="244"/>
      <c r="G13" s="4" t="s">
        <v>36</v>
      </c>
      <c r="H13" s="30">
        <v>44807.02</v>
      </c>
      <c r="I13" s="32"/>
      <c r="J13" s="33" t="s">
        <v>56</v>
      </c>
      <c r="L13" s="34"/>
    </row>
    <row r="14" spans="1:12" s="6" customFormat="1">
      <c r="A14" s="77" t="s">
        <v>6</v>
      </c>
      <c r="B14" s="5">
        <v>3000</v>
      </c>
      <c r="C14" s="22">
        <v>2</v>
      </c>
      <c r="D14" s="18" t="s">
        <v>26</v>
      </c>
      <c r="E14" s="10">
        <f>IF(D14="Pago",B14,)</f>
        <v>3000</v>
      </c>
      <c r="F14" s="243"/>
      <c r="G14" s="4" t="s">
        <v>33</v>
      </c>
      <c r="H14" s="30"/>
      <c r="I14" s="32"/>
      <c r="J14" s="33"/>
      <c r="L14" s="34"/>
    </row>
    <row r="15" spans="1:12" s="9" customFormat="1">
      <c r="A15" s="78" t="s">
        <v>12</v>
      </c>
      <c r="B15" s="11">
        <f>55357.3+23842.5+18793.75+15035+22555.1+21997.5+10000.7+5000+42000+3000+4600</f>
        <v>222181.85</v>
      </c>
      <c r="C15" s="22"/>
      <c r="D15" s="27" t="s">
        <v>26</v>
      </c>
      <c r="E15" s="10">
        <f>IF(D15="Pago",B15,)</f>
        <v>222181.85</v>
      </c>
      <c r="F15" s="243"/>
      <c r="G15" s="7" t="s">
        <v>33</v>
      </c>
      <c r="H15" s="31"/>
      <c r="I15" s="35"/>
      <c r="J15" s="36"/>
      <c r="L15" s="37"/>
    </row>
    <row r="16" spans="1:12" s="9" customFormat="1">
      <c r="A16" s="78" t="s">
        <v>21</v>
      </c>
      <c r="B16" s="11">
        <v>20000</v>
      </c>
      <c r="C16" s="22">
        <v>2</v>
      </c>
      <c r="D16" s="19" t="s">
        <v>26</v>
      </c>
      <c r="E16" s="10">
        <f>IF(D16="Pago",B16,)</f>
        <v>20000</v>
      </c>
      <c r="F16" s="243"/>
      <c r="G16" s="7" t="s">
        <v>33</v>
      </c>
      <c r="H16" s="31"/>
      <c r="I16" s="35"/>
      <c r="J16" s="36"/>
      <c r="L16" s="37"/>
    </row>
    <row r="17" spans="1:12" s="9" customFormat="1">
      <c r="A17" s="78" t="s">
        <v>31</v>
      </c>
      <c r="B17" s="11">
        <v>3705</v>
      </c>
      <c r="C17" s="22">
        <v>3</v>
      </c>
      <c r="D17" s="19" t="s">
        <v>26</v>
      </c>
      <c r="E17" s="10">
        <f>IF(D17="Pago",B17,)</f>
        <v>3705</v>
      </c>
      <c r="F17" s="243"/>
      <c r="G17" s="7" t="s">
        <v>33</v>
      </c>
      <c r="H17" s="31" t="s">
        <v>42</v>
      </c>
      <c r="I17" s="35"/>
      <c r="J17" s="36"/>
      <c r="L17" s="37"/>
    </row>
    <row r="18" spans="1:12" s="9" customFormat="1" ht="18.600000000000001" customHeight="1">
      <c r="A18" s="79" t="s">
        <v>32</v>
      </c>
      <c r="B18" s="47">
        <f>647+2380</f>
        <v>3027</v>
      </c>
      <c r="C18" s="14">
        <v>3</v>
      </c>
      <c r="D18" s="76" t="s">
        <v>26</v>
      </c>
      <c r="E18" s="45">
        <f>IF(D18="Pago",B18,)</f>
        <v>3027</v>
      </c>
      <c r="F18" s="245"/>
      <c r="G18" s="42" t="s">
        <v>33</v>
      </c>
      <c r="H18" s="65" t="s">
        <v>44</v>
      </c>
      <c r="I18" s="39"/>
      <c r="J18" s="36"/>
      <c r="K18" s="40"/>
      <c r="L18" s="37"/>
    </row>
    <row r="19" spans="1:12" s="12" customFormat="1" ht="20.399999999999999" thickBot="1">
      <c r="A19" s="80" t="s">
        <v>49</v>
      </c>
      <c r="B19" s="81">
        <f>B21-B20</f>
        <v>0</v>
      </c>
      <c r="C19" s="299"/>
      <c r="D19" s="300"/>
      <c r="E19" s="300"/>
      <c r="F19" s="300"/>
      <c r="G19" s="300"/>
      <c r="H19" s="300"/>
      <c r="I19" s="67"/>
      <c r="J19" s="41"/>
      <c r="K19" s="29"/>
      <c r="L19" s="68"/>
    </row>
    <row r="20" spans="1:12" ht="18.600000000000001" thickBot="1">
      <c r="A20" s="48" t="s">
        <v>30</v>
      </c>
      <c r="B20" s="50">
        <f>SUM(E4:E18)</f>
        <v>349391.8</v>
      </c>
      <c r="C20" s="299"/>
      <c r="D20" s="300"/>
      <c r="E20" s="300"/>
      <c r="F20" s="300"/>
      <c r="G20" s="300"/>
      <c r="H20" s="300"/>
      <c r="I20" s="69"/>
      <c r="J20" s="33"/>
      <c r="K20" s="6"/>
      <c r="L20" s="34"/>
    </row>
    <row r="21" spans="1:12" ht="18.600000000000001" thickBot="1">
      <c r="A21" s="49" t="s">
        <v>48</v>
      </c>
      <c r="B21" s="51">
        <f>SUM(B4:B18)</f>
        <v>349391.8</v>
      </c>
      <c r="C21" s="302"/>
      <c r="D21" s="303"/>
      <c r="E21" s="303"/>
      <c r="F21" s="303"/>
      <c r="G21" s="303"/>
      <c r="H21" s="303"/>
      <c r="I21" s="70"/>
      <c r="J21" s="71"/>
      <c r="K21" s="72"/>
      <c r="L21" s="73"/>
    </row>
    <row r="22" spans="1:12">
      <c r="B22" s="24"/>
      <c r="C22" s="46"/>
    </row>
    <row r="23" spans="1:12" ht="18.600000000000001" thickBot="1">
      <c r="E23" s="13"/>
      <c r="F23" s="13"/>
      <c r="G23" s="25"/>
    </row>
    <row r="24" spans="1:12" ht="18.600000000000001" thickBot="1">
      <c r="A24" s="55" t="s">
        <v>35</v>
      </c>
      <c r="B24" s="54" t="s">
        <v>27</v>
      </c>
      <c r="C24" s="56" t="s">
        <v>26</v>
      </c>
    </row>
    <row r="25" spans="1:12">
      <c r="A25" s="60" t="s">
        <v>22</v>
      </c>
      <c r="B25" s="62">
        <f>SUMIFS(B4:B18, G4:G18, "BIM", D4:D18, "&lt;&gt;Pago")</f>
        <v>0</v>
      </c>
      <c r="C25" s="57">
        <f>SUMIFS(B4:B18, G4:G18, "BIM", D4:D18, "Pago")</f>
        <v>25000</v>
      </c>
    </row>
    <row r="26" spans="1:12">
      <c r="A26" s="61" t="s">
        <v>36</v>
      </c>
      <c r="B26" s="63">
        <f>SUMIFS(B4:B18, G4:G18, "BIM C", D4:D18, "&lt;&gt;Pago")</f>
        <v>0</v>
      </c>
      <c r="C26" s="58">
        <f>SUMIFS(E4:E18, G4:G18, "BIM C", D4:D18, "Pago")</f>
        <v>0</v>
      </c>
    </row>
    <row r="27" spans="1:12" ht="18.600000000000001" thickBot="1">
      <c r="A27" s="61" t="s">
        <v>33</v>
      </c>
      <c r="B27" s="64">
        <f>SUMIFS(B4:B18, G4:G18, "STB", D4:D18, "&lt;&gt;Pago")</f>
        <v>0</v>
      </c>
      <c r="C27" s="59">
        <f>SUMIFS(B4:B18, G4:G18, "STB", D4:D18, "Pago")</f>
        <v>324391.8</v>
      </c>
    </row>
    <row r="28" spans="1:12" ht="18.600000000000001" thickBot="1">
      <c r="A28" s="52" t="s">
        <v>38</v>
      </c>
      <c r="B28" s="53">
        <f>SUM(B25:B26)</f>
        <v>0</v>
      </c>
      <c r="C28" s="21"/>
    </row>
    <row r="29" spans="1:12">
      <c r="C29" s="21"/>
    </row>
    <row r="30" spans="1:12">
      <c r="C30" s="21"/>
    </row>
    <row r="31" spans="1:12">
      <c r="C31" s="21"/>
    </row>
    <row r="32" spans="1:12">
      <c r="C32" s="21"/>
    </row>
    <row r="33" spans="3:3">
      <c r="C33" s="21"/>
    </row>
    <row r="34" spans="3:3">
      <c r="C34" s="21"/>
    </row>
    <row r="35" spans="3:3">
      <c r="C35" s="21"/>
    </row>
    <row r="36" spans="3:3">
      <c r="C36" s="21"/>
    </row>
    <row r="37" spans="3:3">
      <c r="C37" s="21"/>
    </row>
    <row r="38" spans="3:3">
      <c r="C38" s="21"/>
    </row>
    <row r="39" spans="3:3">
      <c r="C39" s="21"/>
    </row>
    <row r="40" spans="3:3">
      <c r="C40" s="21"/>
    </row>
    <row r="41" spans="3:3">
      <c r="C41" s="21"/>
    </row>
  </sheetData>
  <sortState xmlns:xlrd2="http://schemas.microsoft.com/office/spreadsheetml/2017/richdata2" ref="A4:H18">
    <sortCondition ref="C4:C18"/>
  </sortState>
  <mergeCells count="3">
    <mergeCell ref="C19:H21"/>
    <mergeCell ref="A2:H2"/>
    <mergeCell ref="J3:K3"/>
  </mergeCells>
  <hyperlinks>
    <hyperlink ref="F4" r:id="rId1" display="https://erp.entretech.co.mz/app/purchase-invoice/FT-FORN%2F26%2F010" xr:uid="{A746522B-1AF8-44F9-99DD-B15F6F2A12AB}"/>
    <hyperlink ref="F6" r:id="rId2" display="https://erp.entretech.co.mz/app/purchase-invoice/FT-FORN%2F26%2F011" xr:uid="{7591FFD0-D2A7-4A67-BD2E-28425F83F905}"/>
    <hyperlink ref="F5" r:id="rId3" display="https://erp.entretech.co.mz/app/purchase-invoice/FT-FORN%2F26%2F012" xr:uid="{F384AC80-1A7E-40FC-995F-E04FF8D376F3}"/>
    <hyperlink ref="F8" r:id="rId4" display="https://erp.entretech.co.mz/app/purchase-invoice/FT-FORN%2F26%2F026" xr:uid="{B16231FF-EED1-41C3-9E67-C0D11133F8A9}"/>
    <hyperlink ref="F7" r:id="rId5" display="https://erp.entretech.co.mz/app/purchase-invoice/FT-FORN%2F26%2F157" xr:uid="{B25C1BC5-85EC-4DF2-9F53-822E796A84CE}"/>
  </hyperlinks>
  <pageMargins left="0.7" right="0.7" top="0.75" bottom="0.75" header="0.3" footer="0.3"/>
  <tableParts count="1"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" operator="containsText" id="{14D74899-8B9B-4FA5-8E37-A32CE2BFE825}">
            <xm:f>NOT(ISERROR(SEARCH(Config!$B$8,D4)))</xm:f>
            <xm:f>Config!$B$8</xm:f>
            <x14:dxf>
              <fill>
                <patternFill>
                  <bgColor theme="9" tint="0.79998168889431442"/>
                </patternFill>
              </fill>
            </x14:dxf>
          </x14:cfRule>
          <x14:cfRule type="containsText" priority="20" operator="containsText" id="{5BD074D6-20C0-485E-AAB0-C33CEE63A8C8}">
            <xm:f>NOT(ISERROR(SEARCH(Config!$B$4,D4)))</xm:f>
            <xm:f>Config!$B$4</xm:f>
            <x14:dxf>
              <fill>
                <patternFill>
                  <bgColor theme="9"/>
                </patternFill>
              </fill>
            </x14:dxf>
          </x14:cfRule>
          <x14:cfRule type="containsText" priority="21" operator="containsText" id="{F6A75567-DA9D-499A-88D2-78AED53B67DA}">
            <xm:f>NOT(ISERROR(SEARCH(Config!$B$7,D4)))</xm:f>
            <xm:f>Config!$B$7</xm:f>
            <x14:dxf>
              <fill>
                <patternFill>
                  <bgColor theme="7" tint="0.39994506668294322"/>
                </patternFill>
              </fill>
            </x14:dxf>
          </x14:cfRule>
          <xm:sqref>D4:D18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Prioridade Invalida" error="Escolha prioridades da lista" promptTitle="Introduza a Prioridade" xr:uid="{2CA34F0F-BFAA-468A-9930-32162A02A164}">
          <x14:formula1>
            <xm:f>Config!$C$3:$C$7</xm:f>
          </x14:formula1>
          <xm:sqref>C4:C18</xm:sqref>
        </x14:dataValidation>
        <x14:dataValidation type="list" allowBlank="1" showInputMessage="1" showErrorMessage="1" xr:uid="{B31894BB-C200-4028-B977-D49AAE1E12B3}">
          <x14:formula1>
            <xm:f>Config!$D$3:$D$5</xm:f>
          </x14:formula1>
          <xm:sqref>G4:G18</xm:sqref>
        </x14:dataValidation>
        <x14:dataValidation type="list" allowBlank="1" showInputMessage="1" showErrorMessage="1" errorTitle="Selecione apenas da lsitaLista" promptTitle="Selecione da Lista" xr:uid="{23D4A1A0-FBBA-448B-9436-AAD88DCE27F6}">
          <x14:formula1>
            <xm:f>Config!$B$3:$B$10</xm:f>
          </x14:formula1>
          <xm:sqref>D4:D18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F121-F1B3-4EF4-9764-B68E05C12EA8}">
  <dimension ref="A1:L48"/>
  <sheetViews>
    <sheetView topLeftCell="A6" zoomScale="98" workbookViewId="0">
      <selection activeCell="B5" sqref="B5"/>
    </sheetView>
  </sheetViews>
  <sheetFormatPr defaultRowHeight="18"/>
  <cols>
    <col min="1" max="1" width="31" style="3" bestFit="1" customWidth="1"/>
    <col min="2" max="2" width="21.5546875" style="3" customWidth="1"/>
    <col min="3" max="3" width="16.44140625" style="3" bestFit="1" customWidth="1"/>
    <col min="4" max="4" width="16.6640625" style="3" bestFit="1" customWidth="1"/>
    <col min="5" max="5" width="15.5546875" style="3" hidden="1" customWidth="1"/>
    <col min="6" max="6" width="15.5546875" style="3" customWidth="1"/>
    <col min="7" max="7" width="16.6640625" style="3" customWidth="1"/>
    <col min="8" max="8" width="60.5546875" style="3" customWidth="1"/>
    <col min="9" max="9" width="5.44140625" style="3" customWidth="1"/>
    <col min="10" max="10" width="13.21875" style="21" bestFit="1" customWidth="1"/>
    <col min="11" max="11" width="30.77734375" style="3" customWidth="1"/>
    <col min="12" max="16384" width="8.88671875" style="3"/>
  </cols>
  <sheetData>
    <row r="1" spans="1:12" ht="18.600000000000001" thickBot="1">
      <c r="A1" s="3" t="s">
        <v>10</v>
      </c>
      <c r="B1" s="3" t="s">
        <v>24</v>
      </c>
    </row>
    <row r="2" spans="1:12" ht="18.600000000000001" thickBot="1">
      <c r="A2" s="292" t="s">
        <v>0</v>
      </c>
      <c r="B2" s="305"/>
      <c r="C2" s="305"/>
      <c r="D2" s="305"/>
      <c r="E2" s="305"/>
      <c r="F2" s="305"/>
      <c r="G2" s="305"/>
      <c r="H2" s="306"/>
      <c r="I2" s="28"/>
    </row>
    <row r="3" spans="1:12" ht="18.600000000000001" thickBot="1">
      <c r="A3" s="82" t="s">
        <v>2</v>
      </c>
      <c r="B3" s="83" t="s">
        <v>3</v>
      </c>
      <c r="C3" s="83" t="s">
        <v>25</v>
      </c>
      <c r="D3" s="83" t="s">
        <v>8</v>
      </c>
      <c r="E3" s="83" t="s">
        <v>50</v>
      </c>
      <c r="F3" s="83" t="s">
        <v>160</v>
      </c>
      <c r="G3" s="83" t="s">
        <v>34</v>
      </c>
      <c r="H3" s="84" t="s">
        <v>9</v>
      </c>
      <c r="I3" s="74"/>
      <c r="J3" s="295" t="s">
        <v>46</v>
      </c>
      <c r="K3" s="295"/>
      <c r="L3" s="75"/>
    </row>
    <row r="4" spans="1:12" s="6" customFormat="1" ht="28.8">
      <c r="A4" s="77" t="s">
        <v>1</v>
      </c>
      <c r="B4" s="96" t="s">
        <v>73</v>
      </c>
      <c r="C4" s="14">
        <v>2</v>
      </c>
      <c r="D4" s="18" t="s">
        <v>26</v>
      </c>
      <c r="E4" s="10" t="str">
        <f t="shared" ref="E4:E13" si="0">IF(D4="Pago",B4,)</f>
        <v>12.955,60</v>
      </c>
      <c r="F4" s="232" t="s">
        <v>161</v>
      </c>
      <c r="G4" s="4" t="s">
        <v>33</v>
      </c>
      <c r="H4" s="30" t="s">
        <v>74</v>
      </c>
      <c r="I4" s="32"/>
      <c r="J4" s="86"/>
      <c r="L4" s="34"/>
    </row>
    <row r="5" spans="1:12" s="9" customFormat="1">
      <c r="A5" s="78" t="s">
        <v>11</v>
      </c>
      <c r="B5" s="3">
        <f>612.5+650+414.5+8628.75</f>
        <v>10305.75</v>
      </c>
      <c r="C5" s="14">
        <v>2</v>
      </c>
      <c r="D5" s="19" t="s">
        <v>26</v>
      </c>
      <c r="E5" s="10">
        <f t="shared" si="0"/>
        <v>10305.75</v>
      </c>
      <c r="F5" s="10" t="s">
        <v>163</v>
      </c>
      <c r="G5" s="7" t="s">
        <v>33</v>
      </c>
      <c r="H5" s="31"/>
      <c r="I5" s="35"/>
      <c r="J5" s="87"/>
      <c r="K5" s="6" t="s">
        <v>20</v>
      </c>
      <c r="L5" s="37"/>
    </row>
    <row r="6" spans="1:12" s="9" customFormat="1" ht="28.8">
      <c r="A6" s="78" t="s">
        <v>13</v>
      </c>
      <c r="B6" s="43">
        <v>24214.560000000001</v>
      </c>
      <c r="C6" s="14"/>
      <c r="D6" s="44" t="s">
        <v>26</v>
      </c>
      <c r="E6" s="45">
        <f t="shared" si="0"/>
        <v>24214.560000000001</v>
      </c>
      <c r="F6" s="232" t="s">
        <v>162</v>
      </c>
      <c r="G6" s="42" t="s">
        <v>33</v>
      </c>
      <c r="H6" s="31"/>
      <c r="I6" s="35"/>
      <c r="J6" s="88">
        <f>3.92+222.88+165.68</f>
        <v>392.48</v>
      </c>
      <c r="K6" s="6" t="s">
        <v>19</v>
      </c>
      <c r="L6" s="37"/>
    </row>
    <row r="7" spans="1:12" s="9" customFormat="1" ht="28.8">
      <c r="A7" s="77" t="s">
        <v>70</v>
      </c>
      <c r="B7" s="5">
        <v>3000</v>
      </c>
      <c r="C7" s="22"/>
      <c r="D7" s="18" t="s">
        <v>26</v>
      </c>
      <c r="E7" s="10">
        <f t="shared" si="0"/>
        <v>3000</v>
      </c>
      <c r="F7" s="232" t="s">
        <v>185</v>
      </c>
      <c r="G7" s="4" t="s">
        <v>33</v>
      </c>
      <c r="H7" s="30" t="s">
        <v>15</v>
      </c>
      <c r="I7" s="32"/>
      <c r="J7" s="86">
        <f>1036.99+16649.99+1629.31</f>
        <v>19316.290000000005</v>
      </c>
      <c r="K7" s="6" t="s">
        <v>17</v>
      </c>
      <c r="L7" s="37"/>
    </row>
    <row r="8" spans="1:12" s="9" customFormat="1">
      <c r="A8" s="78" t="s">
        <v>4</v>
      </c>
      <c r="B8" s="8">
        <v>7312</v>
      </c>
      <c r="C8" s="22"/>
      <c r="D8" s="19" t="s">
        <v>26</v>
      </c>
      <c r="E8" s="10">
        <f t="shared" si="0"/>
        <v>7312</v>
      </c>
      <c r="F8" s="10"/>
      <c r="G8" s="7" t="s">
        <v>33</v>
      </c>
      <c r="H8" s="31"/>
      <c r="I8" s="35"/>
      <c r="J8" s="86">
        <v>16500</v>
      </c>
      <c r="K8" s="6" t="s">
        <v>18</v>
      </c>
      <c r="L8" s="37"/>
    </row>
    <row r="9" spans="1:12" s="9" customFormat="1">
      <c r="A9" s="78" t="s">
        <v>39</v>
      </c>
      <c r="B9" s="8">
        <v>3225.43</v>
      </c>
      <c r="C9" s="22">
        <v>1</v>
      </c>
      <c r="D9" s="19" t="s">
        <v>26</v>
      </c>
      <c r="E9" s="10">
        <f t="shared" si="0"/>
        <v>3225.43</v>
      </c>
      <c r="F9" s="10"/>
      <c r="G9" s="7" t="s">
        <v>33</v>
      </c>
      <c r="H9" s="31"/>
      <c r="I9" s="35"/>
      <c r="J9" s="86">
        <f>J8+J7</f>
        <v>35816.290000000008</v>
      </c>
      <c r="L9" s="37"/>
    </row>
    <row r="10" spans="1:12" s="9" customFormat="1">
      <c r="A10" s="77" t="s">
        <v>77</v>
      </c>
      <c r="B10" s="11">
        <v>3000</v>
      </c>
      <c r="C10" s="22"/>
      <c r="D10" s="19" t="s">
        <v>26</v>
      </c>
      <c r="E10" s="10">
        <f>IF(D10="Pago",B10,)</f>
        <v>3000</v>
      </c>
      <c r="F10" s="10"/>
      <c r="G10" s="7" t="s">
        <v>33</v>
      </c>
      <c r="H10" s="30" t="s">
        <v>15</v>
      </c>
      <c r="I10" s="35"/>
      <c r="J10" s="86"/>
      <c r="L10" s="37"/>
    </row>
    <row r="11" spans="1:12" s="6" customFormat="1">
      <c r="A11" s="78" t="s">
        <v>16</v>
      </c>
      <c r="B11" s="5">
        <v>5000</v>
      </c>
      <c r="C11" s="22">
        <v>3</v>
      </c>
      <c r="D11" s="18"/>
      <c r="E11" s="10">
        <f t="shared" si="0"/>
        <v>0</v>
      </c>
      <c r="F11" s="10"/>
      <c r="G11" s="7" t="s">
        <v>33</v>
      </c>
      <c r="H11" s="1"/>
      <c r="I11" s="35"/>
      <c r="J11" s="86"/>
      <c r="L11" s="34"/>
    </row>
    <row r="12" spans="1:12" s="6" customFormat="1">
      <c r="A12" s="78" t="s">
        <v>14</v>
      </c>
      <c r="B12" s="8">
        <v>20000</v>
      </c>
      <c r="C12" s="22"/>
      <c r="D12" s="19" t="s">
        <v>26</v>
      </c>
      <c r="E12" s="10">
        <f t="shared" si="0"/>
        <v>20000</v>
      </c>
      <c r="F12" s="10"/>
      <c r="G12" s="7" t="s">
        <v>33</v>
      </c>
      <c r="H12" s="31" t="s">
        <v>53</v>
      </c>
      <c r="I12" s="35"/>
      <c r="J12" s="86" t="s">
        <v>52</v>
      </c>
      <c r="L12" s="34"/>
    </row>
    <row r="13" spans="1:12" s="6" customFormat="1">
      <c r="A13" s="77" t="s">
        <v>5</v>
      </c>
      <c r="B13" s="13" t="s">
        <v>78</v>
      </c>
      <c r="C13" s="22">
        <v>1</v>
      </c>
      <c r="D13" s="20" t="s">
        <v>26</v>
      </c>
      <c r="E13" s="10" t="str">
        <f t="shared" si="0"/>
        <v>96 942,22</v>
      </c>
      <c r="F13" s="10"/>
      <c r="G13" s="4" t="s">
        <v>33</v>
      </c>
      <c r="H13" s="30"/>
      <c r="I13" s="32"/>
      <c r="J13" s="85" t="s">
        <v>54</v>
      </c>
      <c r="L13" s="34"/>
    </row>
    <row r="14" spans="1:12" s="6" customFormat="1">
      <c r="A14" s="77" t="s">
        <v>60</v>
      </c>
      <c r="B14" s="5">
        <v>7000</v>
      </c>
      <c r="C14" s="22"/>
      <c r="D14" s="19" t="s">
        <v>26</v>
      </c>
      <c r="E14" s="10"/>
      <c r="F14" s="10"/>
      <c r="G14" s="4" t="s">
        <v>33</v>
      </c>
      <c r="H14" s="4"/>
      <c r="J14" s="6">
        <f>35816.29-5000</f>
        <v>30816.29</v>
      </c>
      <c r="L14" s="34"/>
    </row>
    <row r="15" spans="1:12" s="6" customFormat="1">
      <c r="A15" s="77" t="s">
        <v>6</v>
      </c>
      <c r="B15" s="5">
        <v>3000</v>
      </c>
      <c r="C15" s="22">
        <v>1</v>
      </c>
      <c r="D15" s="18" t="s">
        <v>26</v>
      </c>
      <c r="E15" s="10">
        <f t="shared" ref="E15:E25" si="1">IF(D15="Pago",B15,)</f>
        <v>3000</v>
      </c>
      <c r="F15" s="10"/>
      <c r="G15" s="4" t="s">
        <v>33</v>
      </c>
      <c r="H15" s="97"/>
      <c r="I15" s="32"/>
      <c r="J15" s="86"/>
      <c r="L15" s="34"/>
    </row>
    <row r="16" spans="1:12" s="9" customFormat="1">
      <c r="A16" s="78" t="s">
        <v>12</v>
      </c>
      <c r="B16" s="11">
        <f>55357.3+23842.5+18793.75+15035+22555.1+21997.5+10000.7+42000+3000+5000</f>
        <v>217581.85</v>
      </c>
      <c r="C16" s="22">
        <v>1</v>
      </c>
      <c r="D16" s="19" t="s">
        <v>26</v>
      </c>
      <c r="E16" s="10">
        <f t="shared" si="1"/>
        <v>217581.85</v>
      </c>
      <c r="F16" s="10"/>
      <c r="G16" s="7" t="s">
        <v>33</v>
      </c>
      <c r="H16" s="31"/>
      <c r="I16" s="35"/>
      <c r="J16" s="89" t="s">
        <v>47</v>
      </c>
      <c r="K16" s="66" t="s">
        <v>43</v>
      </c>
      <c r="L16" s="37"/>
    </row>
    <row r="17" spans="1:12" s="9" customFormat="1">
      <c r="A17" s="78" t="s">
        <v>71</v>
      </c>
      <c r="B17" s="11">
        <f>2000+2000+3000+3000+2000</f>
        <v>12000</v>
      </c>
      <c r="C17" s="22">
        <v>2</v>
      </c>
      <c r="D17" s="19" t="s">
        <v>26</v>
      </c>
      <c r="E17" s="10">
        <f t="shared" si="1"/>
        <v>12000</v>
      </c>
      <c r="F17" s="10"/>
      <c r="G17" s="7"/>
      <c r="H17" s="31"/>
      <c r="I17" s="35"/>
      <c r="J17" s="89"/>
      <c r="K17" s="66"/>
      <c r="L17" s="37"/>
    </row>
    <row r="18" spans="1:12" s="9" customFormat="1">
      <c r="A18" s="78" t="s">
        <v>72</v>
      </c>
      <c r="B18" s="11">
        <v>5800</v>
      </c>
      <c r="C18" s="22">
        <v>1</v>
      </c>
      <c r="D18" s="19" t="s">
        <v>26</v>
      </c>
      <c r="E18" s="10">
        <f t="shared" si="1"/>
        <v>5800</v>
      </c>
      <c r="F18" s="10"/>
      <c r="G18" s="7"/>
      <c r="H18" s="31"/>
      <c r="I18" s="35"/>
      <c r="J18" s="89"/>
      <c r="K18" s="66"/>
      <c r="L18" s="37"/>
    </row>
    <row r="19" spans="1:12" s="9" customFormat="1">
      <c r="A19" s="78" t="s">
        <v>21</v>
      </c>
      <c r="B19" s="11">
        <v>20000</v>
      </c>
      <c r="C19" s="22">
        <v>2</v>
      </c>
      <c r="D19" s="19" t="s">
        <v>26</v>
      </c>
      <c r="E19" s="10">
        <f t="shared" si="1"/>
        <v>20000</v>
      </c>
      <c r="F19" s="10"/>
      <c r="G19" s="7" t="s">
        <v>33</v>
      </c>
      <c r="H19" s="31"/>
      <c r="I19" s="35"/>
      <c r="J19" s="87"/>
      <c r="L19" s="37"/>
    </row>
    <row r="20" spans="1:12" s="9" customFormat="1">
      <c r="A20" s="78" t="s">
        <v>66</v>
      </c>
      <c r="B20" s="11">
        <v>28500</v>
      </c>
      <c r="C20" s="22"/>
      <c r="D20" s="19" t="s">
        <v>26</v>
      </c>
      <c r="E20" s="10">
        <f t="shared" si="1"/>
        <v>28500</v>
      </c>
      <c r="F20" s="10"/>
      <c r="G20" s="7" t="s">
        <v>33</v>
      </c>
      <c r="H20" s="31"/>
      <c r="I20" s="35"/>
      <c r="J20" s="87"/>
      <c r="L20" s="37"/>
    </row>
    <row r="21" spans="1:12" s="9" customFormat="1">
      <c r="A21" s="78" t="s">
        <v>65</v>
      </c>
      <c r="B21" s="11">
        <v>2000</v>
      </c>
      <c r="C21" s="22"/>
      <c r="D21" s="19" t="s">
        <v>26</v>
      </c>
      <c r="E21" s="10">
        <f t="shared" si="1"/>
        <v>2000</v>
      </c>
      <c r="F21" s="10"/>
      <c r="G21" s="7" t="s">
        <v>33</v>
      </c>
      <c r="H21" s="31"/>
      <c r="I21" s="35"/>
      <c r="J21" s="87"/>
      <c r="L21" s="37"/>
    </row>
    <row r="22" spans="1:12" s="9" customFormat="1">
      <c r="A22" s="78" t="s">
        <v>68</v>
      </c>
      <c r="B22" s="11">
        <v>15000</v>
      </c>
      <c r="C22" s="22">
        <v>2</v>
      </c>
      <c r="D22" s="19" t="s">
        <v>26</v>
      </c>
      <c r="E22" s="10">
        <f t="shared" si="1"/>
        <v>15000</v>
      </c>
      <c r="F22" s="10"/>
      <c r="G22" s="7" t="s">
        <v>33</v>
      </c>
      <c r="H22" s="31" t="s">
        <v>69</v>
      </c>
      <c r="I22" s="35"/>
      <c r="J22" s="87"/>
      <c r="L22" s="37"/>
    </row>
    <row r="23" spans="1:12" s="9" customFormat="1">
      <c r="A23" s="78" t="s">
        <v>79</v>
      </c>
      <c r="B23" s="11"/>
      <c r="C23" s="22"/>
      <c r="D23" s="19"/>
      <c r="E23" s="10">
        <f>IF(D23="Pago",B23,)</f>
        <v>0</v>
      </c>
      <c r="F23" s="10"/>
      <c r="G23" s="7"/>
      <c r="H23" s="31"/>
      <c r="I23" s="35"/>
      <c r="J23" s="87"/>
      <c r="L23" s="37"/>
    </row>
    <row r="24" spans="1:12" s="9" customFormat="1">
      <c r="A24" s="78" t="s">
        <v>67</v>
      </c>
      <c r="B24" s="11">
        <v>3000</v>
      </c>
      <c r="C24" s="22">
        <v>1</v>
      </c>
      <c r="D24" s="19" t="s">
        <v>26</v>
      </c>
      <c r="E24" s="10">
        <f t="shared" si="1"/>
        <v>3000</v>
      </c>
      <c r="F24" s="10"/>
      <c r="G24" s="7" t="s">
        <v>33</v>
      </c>
      <c r="H24" s="31" t="s">
        <v>76</v>
      </c>
      <c r="I24" s="35"/>
      <c r="J24" s="87"/>
      <c r="L24" s="37"/>
    </row>
    <row r="25" spans="1:12" s="9" customFormat="1">
      <c r="A25" s="78" t="s">
        <v>62</v>
      </c>
      <c r="B25" s="11">
        <v>35000</v>
      </c>
      <c r="C25" s="22">
        <v>3</v>
      </c>
      <c r="D25" s="19" t="s">
        <v>26</v>
      </c>
      <c r="E25" s="10">
        <f t="shared" si="1"/>
        <v>35000</v>
      </c>
      <c r="F25" s="10"/>
      <c r="G25" s="7" t="s">
        <v>33</v>
      </c>
      <c r="H25" s="31" t="s">
        <v>80</v>
      </c>
      <c r="I25" s="35"/>
      <c r="J25" s="87"/>
      <c r="L25" s="37"/>
    </row>
    <row r="26" spans="1:12" s="12" customFormat="1" ht="20.399999999999999" thickBot="1">
      <c r="A26" s="80" t="s">
        <v>49</v>
      </c>
      <c r="B26" s="81">
        <f>B28-B27</f>
        <v>12000</v>
      </c>
      <c r="C26" s="299"/>
      <c r="D26" s="307"/>
      <c r="E26" s="307"/>
      <c r="F26" s="307"/>
      <c r="G26" s="307"/>
      <c r="H26" s="307"/>
      <c r="I26" s="67"/>
      <c r="J26" s="89"/>
      <c r="K26" s="29"/>
      <c r="L26" s="68"/>
    </row>
    <row r="27" spans="1:12" ht="18.600000000000001" thickBot="1">
      <c r="A27" s="48" t="s">
        <v>30</v>
      </c>
      <c r="B27" s="50">
        <f>SUM(E4:E25)</f>
        <v>412939.58999999997</v>
      </c>
      <c r="C27" s="299"/>
      <c r="D27" s="307"/>
      <c r="E27" s="307"/>
      <c r="F27" s="307"/>
      <c r="G27" s="307"/>
      <c r="H27" s="307"/>
      <c r="I27" s="67"/>
      <c r="J27" s="86"/>
      <c r="K27" s="6"/>
      <c r="L27" s="34"/>
    </row>
    <row r="28" spans="1:12" ht="18.600000000000001" thickBot="1">
      <c r="A28" s="49" t="s">
        <v>48</v>
      </c>
      <c r="B28" s="51">
        <f>SUM(B4:B25)</f>
        <v>424939.58999999997</v>
      </c>
      <c r="C28" s="302"/>
      <c r="D28" s="303"/>
      <c r="E28" s="303"/>
      <c r="F28" s="303"/>
      <c r="G28" s="303"/>
      <c r="H28" s="303"/>
      <c r="I28" s="70"/>
      <c r="J28" s="71"/>
      <c r="K28" s="72"/>
      <c r="L28" s="73"/>
    </row>
    <row r="29" spans="1:12">
      <c r="B29" s="90"/>
      <c r="C29" s="91"/>
    </row>
    <row r="30" spans="1:12" ht="18.600000000000001" thickBot="1">
      <c r="E30" s="13"/>
      <c r="F30" s="13"/>
      <c r="G30" s="25"/>
    </row>
    <row r="31" spans="1:12" ht="18.600000000000001" thickBot="1">
      <c r="A31" s="55" t="s">
        <v>35</v>
      </c>
      <c r="B31" s="54" t="s">
        <v>27</v>
      </c>
      <c r="C31" s="56" t="s">
        <v>26</v>
      </c>
    </row>
    <row r="32" spans="1:12">
      <c r="A32" s="60" t="s">
        <v>22</v>
      </c>
      <c r="B32" s="62">
        <f>SUMIFS(B4:B25, G4:G25, "BIM", D4:D25, "&lt;&gt;Pago")</f>
        <v>0</v>
      </c>
      <c r="C32" s="57">
        <f>SUMIFS(B4:B25, G4:G25, "BIM", D4:D25, "Pago")</f>
        <v>0</v>
      </c>
      <c r="G32" s="99"/>
    </row>
    <row r="33" spans="1:3">
      <c r="A33" s="61" t="s">
        <v>36</v>
      </c>
      <c r="B33" s="63">
        <f>SUMIFS(B4:B25, G4:G25, "BIM C", D4:D25, "&lt;&gt;Pago")</f>
        <v>0</v>
      </c>
      <c r="C33" s="58">
        <f>SUMIFS(B4:B25, G4:G25, "BIM C", D4:D25, "Pago")</f>
        <v>0</v>
      </c>
    </row>
    <row r="34" spans="1:3" ht="18.600000000000001" thickBot="1">
      <c r="A34" s="61" t="s">
        <v>33</v>
      </c>
      <c r="B34" s="64">
        <f>SUMIFS(B4:B25, G4:G25, "STB", D4:D25, "&lt;&gt;Pago")</f>
        <v>5000</v>
      </c>
      <c r="C34" s="59">
        <f>SUMIFS(B4:B25, G4:G25, "STB", D4:D25, "Pago")</f>
        <v>402139.58999999997</v>
      </c>
    </row>
    <row r="35" spans="1:3" ht="18.600000000000001" thickBot="1">
      <c r="A35" s="52" t="s">
        <v>38</v>
      </c>
      <c r="B35" s="53">
        <f>SUM(B32:B33)</f>
        <v>0</v>
      </c>
      <c r="C35" s="21"/>
    </row>
    <row r="36" spans="1:3">
      <c r="C36" s="21"/>
    </row>
    <row r="37" spans="1:3">
      <c r="C37" s="21"/>
    </row>
    <row r="38" spans="1:3">
      <c r="C38" s="21"/>
    </row>
    <row r="39" spans="1:3">
      <c r="C39" s="21"/>
    </row>
    <row r="40" spans="1:3">
      <c r="C40" s="21"/>
    </row>
    <row r="41" spans="1:3">
      <c r="C41" s="21"/>
    </row>
    <row r="42" spans="1:3">
      <c r="C42" s="21"/>
    </row>
    <row r="43" spans="1:3">
      <c r="C43" s="21"/>
    </row>
    <row r="44" spans="1:3">
      <c r="C44" s="21"/>
    </row>
    <row r="45" spans="1:3">
      <c r="C45" s="21"/>
    </row>
    <row r="46" spans="1:3">
      <c r="C46" s="21"/>
    </row>
    <row r="47" spans="1:3">
      <c r="C47" s="21"/>
    </row>
    <row r="48" spans="1:3">
      <c r="C48" s="21"/>
    </row>
  </sheetData>
  <mergeCells count="3">
    <mergeCell ref="A2:H2"/>
    <mergeCell ref="J3:K3"/>
    <mergeCell ref="C26:H28"/>
  </mergeCells>
  <phoneticPr fontId="33" type="noConversion"/>
  <hyperlinks>
    <hyperlink ref="F4" r:id="rId1" display="https://erp.entretech.co.mz/app/purchase-invoice/FT-FORN%2F26%2F148" xr:uid="{48889615-47B7-4CBE-B568-1E3719EDFFCD}"/>
    <hyperlink ref="F6" r:id="rId2" display="https://erp.entretech.co.mz/app/purchase-invoice/FT-FORN%2F26%2F066" xr:uid="{716590EF-2982-4CEB-A267-8CA068F403B9}"/>
    <hyperlink ref="F7" r:id="rId3" display="https://erp.entretech.co.mz/app/purchase-invoice/FT-FORN%2F26%2F158" xr:uid="{6E7A7124-82BC-4E91-A9B5-AA9B48D3A9F2}"/>
  </hyperlinks>
  <pageMargins left="0.7" right="0.7" top="0.75" bottom="0.75" header="0.3" footer="0.3"/>
  <legacyDrawing r:id="rId4"/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2" operator="containsText" id="{461981B4-5E19-420D-A4EE-93631B4E5003}">
            <xm:f>NOT(ISERROR(SEARCH(Config!$B$8,D4)))</xm:f>
            <xm:f>Config!$B$8</xm:f>
            <x14:dxf>
              <fill>
                <patternFill>
                  <bgColor theme="9" tint="0.79998168889431442"/>
                </patternFill>
              </fill>
            </x14:dxf>
          </x14:cfRule>
          <x14:cfRule type="containsText" priority="23" operator="containsText" id="{A7C9EA7F-8DB0-4010-80AC-FEAB2878C9A2}">
            <xm:f>NOT(ISERROR(SEARCH(Config!$B$4,D4)))</xm:f>
            <xm:f>Config!$B$4</xm:f>
            <x14:dxf>
              <fill>
                <patternFill>
                  <bgColor theme="9"/>
                </patternFill>
              </fill>
            </x14:dxf>
          </x14:cfRule>
          <x14:cfRule type="containsText" priority="24" operator="containsText" id="{C5385EB9-27D3-479B-A547-79B1BDD95700}">
            <xm:f>NOT(ISERROR(SEARCH(Config!$B$7,D4)))</xm:f>
            <xm:f>Config!$B$7</xm:f>
            <x14:dxf>
              <fill>
                <patternFill>
                  <bgColor theme="7" tint="0.39994506668294322"/>
                </patternFill>
              </fill>
            </x14:dxf>
          </x14:cfRule>
          <xm:sqref>D4:D25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433A727-E5D7-42F5-AE53-61789C5F20EC}">
          <x14:formula1>
            <xm:f>Config!$D$3:$D$5</xm:f>
          </x14:formula1>
          <xm:sqref>G4:G25</xm:sqref>
        </x14:dataValidation>
        <x14:dataValidation type="list" allowBlank="1" showInputMessage="1" showErrorMessage="1" errorTitle="Prioridade Invalida" error="Escolha prioridades da lista" promptTitle="Introduza a Prioridade" xr:uid="{6A05A712-68B5-4E5A-B3C7-3F05573084BB}">
          <x14:formula1>
            <xm:f>Config!$C$3:$C$7</xm:f>
          </x14:formula1>
          <xm:sqref>C4:C25</xm:sqref>
        </x14:dataValidation>
        <x14:dataValidation type="list" allowBlank="1" showInputMessage="1" showErrorMessage="1" errorTitle="Selecione apenas da lsitaLista" promptTitle="Selecione da Lista" xr:uid="{A50C443C-655D-47FB-A1D2-D4CF2220360A}">
          <x14:formula1>
            <xm:f>Config!$B$3:$B$10</xm:f>
          </x14:formula1>
          <xm:sqref>D4:D25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DDEE-92FA-4802-AB7C-08F55536ED6F}">
  <dimension ref="A1:L43"/>
  <sheetViews>
    <sheetView zoomScale="92" zoomScaleNormal="140" workbookViewId="0">
      <selection activeCell="B10" sqref="B10"/>
    </sheetView>
  </sheetViews>
  <sheetFormatPr defaultRowHeight="18"/>
  <cols>
    <col min="1" max="1" width="42.88671875" style="3" customWidth="1"/>
    <col min="2" max="2" width="21.5546875" style="3" customWidth="1"/>
    <col min="3" max="3" width="17.5546875" style="3" bestFit="1" customWidth="1"/>
    <col min="4" max="4" width="16.6640625" style="3" bestFit="1" customWidth="1"/>
    <col min="5" max="5" width="0" style="3" hidden="1" customWidth="1"/>
    <col min="6" max="6" width="15.77734375" style="3" bestFit="1" customWidth="1"/>
    <col min="7" max="7" width="18.88671875" style="3" customWidth="1"/>
    <col min="8" max="8" width="60.5546875" style="3" bestFit="1" customWidth="1"/>
    <col min="9" max="9" width="5.44140625" style="3" customWidth="1"/>
    <col min="10" max="10" width="17" style="21" customWidth="1"/>
    <col min="11" max="11" width="30.77734375" style="3" customWidth="1"/>
    <col min="12" max="16384" width="8.88671875" style="3"/>
  </cols>
  <sheetData>
    <row r="1" spans="1:12" ht="18.600000000000001" thickBot="1">
      <c r="A1" s="3" t="s">
        <v>10</v>
      </c>
      <c r="B1" s="3" t="s">
        <v>55</v>
      </c>
    </row>
    <row r="2" spans="1:12" ht="18.600000000000001" thickBot="1">
      <c r="A2" s="292" t="s">
        <v>0</v>
      </c>
      <c r="B2" s="293"/>
      <c r="C2" s="293"/>
      <c r="D2" s="293"/>
      <c r="E2" s="293"/>
      <c r="F2" s="293"/>
      <c r="G2" s="293"/>
      <c r="H2" s="294"/>
      <c r="I2" s="28"/>
    </row>
    <row r="3" spans="1:12" ht="18.600000000000001" thickBot="1">
      <c r="A3" s="82" t="s">
        <v>2</v>
      </c>
      <c r="B3" s="83" t="s">
        <v>3</v>
      </c>
      <c r="C3" s="83" t="s">
        <v>25</v>
      </c>
      <c r="D3" s="83" t="s">
        <v>8</v>
      </c>
      <c r="E3" s="83" t="s">
        <v>50</v>
      </c>
      <c r="F3" s="83" t="s">
        <v>160</v>
      </c>
      <c r="G3" s="83" t="s">
        <v>34</v>
      </c>
      <c r="H3" s="84" t="s">
        <v>9</v>
      </c>
      <c r="I3" s="74"/>
      <c r="J3" s="295" t="s">
        <v>46</v>
      </c>
      <c r="K3" s="295"/>
      <c r="L3" s="75"/>
    </row>
    <row r="4" spans="1:12" s="6" customFormat="1">
      <c r="A4" s="77" t="s">
        <v>1</v>
      </c>
      <c r="B4" s="100">
        <v>12955.6</v>
      </c>
      <c r="C4" s="14"/>
      <c r="D4" s="18" t="s">
        <v>26</v>
      </c>
      <c r="E4" s="10">
        <f t="shared" ref="E4:E13" si="0">IF(D4="Pago",B4,)</f>
        <v>12955.6</v>
      </c>
      <c r="F4" s="10" t="s">
        <v>170</v>
      </c>
      <c r="G4" s="4" t="s">
        <v>33</v>
      </c>
      <c r="H4" s="30" t="s">
        <v>83</v>
      </c>
      <c r="I4" s="32"/>
      <c r="J4" s="85" t="s">
        <v>84</v>
      </c>
      <c r="L4" s="34"/>
    </row>
    <row r="5" spans="1:12" s="9" customFormat="1">
      <c r="A5" s="78" t="s">
        <v>11</v>
      </c>
      <c r="B5" s="3">
        <f>612.5+650+414.5+8628.75</f>
        <v>10305.75</v>
      </c>
      <c r="C5" s="14"/>
      <c r="D5" s="19" t="s">
        <v>26</v>
      </c>
      <c r="E5" s="10">
        <f t="shared" si="0"/>
        <v>10305.75</v>
      </c>
      <c r="F5" s="10" t="s">
        <v>168</v>
      </c>
      <c r="G5" s="7" t="s">
        <v>33</v>
      </c>
      <c r="H5" s="31"/>
      <c r="I5" s="35"/>
      <c r="J5" s="87"/>
      <c r="K5" s="6" t="s">
        <v>20</v>
      </c>
      <c r="L5" s="37"/>
    </row>
    <row r="6" spans="1:12" s="9" customFormat="1">
      <c r="A6" s="78" t="s">
        <v>13</v>
      </c>
      <c r="B6" s="43">
        <v>27827.91</v>
      </c>
      <c r="C6" s="14"/>
      <c r="D6" s="44" t="s">
        <v>26</v>
      </c>
      <c r="E6" s="45">
        <f t="shared" si="0"/>
        <v>27827.91</v>
      </c>
      <c r="F6" s="45" t="s">
        <v>169</v>
      </c>
      <c r="G6" s="42" t="s">
        <v>33</v>
      </c>
      <c r="H6" s="31"/>
      <c r="I6" s="35"/>
      <c r="J6" s="88">
        <f>3.92+222.88+165.68</f>
        <v>392.48</v>
      </c>
      <c r="K6" s="6" t="s">
        <v>19</v>
      </c>
      <c r="L6" s="37"/>
    </row>
    <row r="7" spans="1:12" s="9" customFormat="1" ht="28.8">
      <c r="A7" s="77" t="s">
        <v>82</v>
      </c>
      <c r="B7" s="5">
        <v>3000</v>
      </c>
      <c r="C7" s="22"/>
      <c r="D7" s="18" t="s">
        <v>26</v>
      </c>
      <c r="E7" s="10">
        <f t="shared" si="0"/>
        <v>3000</v>
      </c>
      <c r="F7" s="232" t="s">
        <v>182</v>
      </c>
      <c r="G7" s="4" t="s">
        <v>33</v>
      </c>
      <c r="H7" s="30" t="s">
        <v>15</v>
      </c>
      <c r="I7" s="32"/>
      <c r="J7" s="86">
        <f>1036.99+16649.99+1629.31</f>
        <v>19316.290000000005</v>
      </c>
      <c r="K7" s="6" t="s">
        <v>17</v>
      </c>
      <c r="L7" s="37"/>
    </row>
    <row r="8" spans="1:12" s="9" customFormat="1" ht="28.8">
      <c r="A8" s="77" t="s">
        <v>87</v>
      </c>
      <c r="B8" s="11">
        <v>3000</v>
      </c>
      <c r="C8" s="22">
        <v>1</v>
      </c>
      <c r="D8" s="18" t="s">
        <v>26</v>
      </c>
      <c r="E8" s="10">
        <f t="shared" si="0"/>
        <v>3000</v>
      </c>
      <c r="F8" s="232" t="s">
        <v>183</v>
      </c>
      <c r="G8" s="7" t="s">
        <v>33</v>
      </c>
      <c r="H8" s="30" t="s">
        <v>15</v>
      </c>
      <c r="I8" s="32"/>
      <c r="J8" s="86"/>
      <c r="K8" s="6"/>
      <c r="L8" s="37"/>
    </row>
    <row r="9" spans="1:12" s="9" customFormat="1">
      <c r="A9" s="78" t="s">
        <v>4</v>
      </c>
      <c r="B9" s="8">
        <v>7500</v>
      </c>
      <c r="C9" s="22">
        <v>1</v>
      </c>
      <c r="D9" s="19" t="s">
        <v>26</v>
      </c>
      <c r="E9" s="10">
        <f t="shared" si="0"/>
        <v>7500</v>
      </c>
      <c r="F9" s="10"/>
      <c r="G9" s="7" t="s">
        <v>33</v>
      </c>
      <c r="H9" s="31"/>
      <c r="I9" s="35"/>
      <c r="J9" s="86">
        <v>16500</v>
      </c>
      <c r="K9" s="6" t="s">
        <v>18</v>
      </c>
      <c r="L9" s="37"/>
    </row>
    <row r="10" spans="1:12" s="9" customFormat="1">
      <c r="A10" s="78" t="s">
        <v>39</v>
      </c>
      <c r="B10" s="8">
        <v>1500</v>
      </c>
      <c r="C10" s="22">
        <v>3</v>
      </c>
      <c r="D10" s="19" t="s">
        <v>26</v>
      </c>
      <c r="E10" s="10">
        <f t="shared" si="0"/>
        <v>1500</v>
      </c>
      <c r="F10" s="10"/>
      <c r="G10" s="7" t="s">
        <v>33</v>
      </c>
      <c r="H10" s="31"/>
      <c r="I10" s="35"/>
      <c r="J10" s="86">
        <f>J9+J7</f>
        <v>35816.290000000008</v>
      </c>
      <c r="L10" s="37"/>
    </row>
    <row r="11" spans="1:12" s="6" customFormat="1">
      <c r="A11" s="78" t="s">
        <v>16</v>
      </c>
      <c r="B11" s="5">
        <v>5000</v>
      </c>
      <c r="C11" s="22">
        <v>1</v>
      </c>
      <c r="D11" s="18" t="s">
        <v>26</v>
      </c>
      <c r="E11" s="10">
        <f t="shared" si="0"/>
        <v>5000</v>
      </c>
      <c r="F11" s="10"/>
      <c r="G11" s="7" t="s">
        <v>33</v>
      </c>
      <c r="H11" s="1"/>
      <c r="I11" s="35"/>
      <c r="J11" s="86"/>
      <c r="L11" s="34"/>
    </row>
    <row r="12" spans="1:12" s="6" customFormat="1">
      <c r="A12" s="78" t="s">
        <v>14</v>
      </c>
      <c r="B12" s="8">
        <v>20000</v>
      </c>
      <c r="C12" s="22"/>
      <c r="D12" s="19" t="s">
        <v>26</v>
      </c>
      <c r="E12" s="10">
        <f t="shared" si="0"/>
        <v>20000</v>
      </c>
      <c r="F12" s="10"/>
      <c r="G12" s="7" t="s">
        <v>22</v>
      </c>
      <c r="H12" s="31" t="s">
        <v>53</v>
      </c>
      <c r="I12" s="35"/>
      <c r="J12" s="86" t="s">
        <v>52</v>
      </c>
      <c r="L12" s="34"/>
    </row>
    <row r="13" spans="1:12" s="6" customFormat="1">
      <c r="A13" s="77" t="s">
        <v>5</v>
      </c>
      <c r="B13" s="5">
        <v>74000</v>
      </c>
      <c r="C13" s="22">
        <v>1</v>
      </c>
      <c r="D13" s="19" t="s">
        <v>26</v>
      </c>
      <c r="E13" s="10">
        <f t="shared" si="0"/>
        <v>74000</v>
      </c>
      <c r="F13" s="10"/>
      <c r="G13" s="4" t="s">
        <v>36</v>
      </c>
      <c r="H13" s="30"/>
      <c r="I13" s="32"/>
      <c r="J13" s="85" t="s">
        <v>94</v>
      </c>
      <c r="L13" s="34"/>
    </row>
    <row r="14" spans="1:12" s="6" customFormat="1">
      <c r="A14" s="77" t="s">
        <v>72</v>
      </c>
      <c r="B14" s="5">
        <v>5800</v>
      </c>
      <c r="C14" s="22">
        <v>1</v>
      </c>
      <c r="D14" s="19" t="s">
        <v>26</v>
      </c>
      <c r="E14" s="10"/>
      <c r="F14" s="10"/>
      <c r="G14" s="4" t="s">
        <v>33</v>
      </c>
      <c r="H14" s="4" t="s">
        <v>75</v>
      </c>
      <c r="J14" s="6">
        <f>35816.29-5000-5000</f>
        <v>25816.29</v>
      </c>
      <c r="L14" s="34"/>
    </row>
    <row r="15" spans="1:12" s="6" customFormat="1">
      <c r="A15" s="77" t="s">
        <v>6</v>
      </c>
      <c r="B15" s="5">
        <v>3000</v>
      </c>
      <c r="C15" s="22"/>
      <c r="D15" s="18" t="s">
        <v>26</v>
      </c>
      <c r="E15" s="10">
        <f t="shared" ref="E15:E20" si="1">IF(D15="Pago",B15,)</f>
        <v>3000</v>
      </c>
      <c r="F15" s="10"/>
      <c r="G15" s="4" t="s">
        <v>33</v>
      </c>
      <c r="H15" s="30"/>
      <c r="I15" s="32"/>
      <c r="J15" s="86"/>
      <c r="L15" s="34"/>
    </row>
    <row r="16" spans="1:12" s="9" customFormat="1">
      <c r="A16" s="78" t="s">
        <v>12</v>
      </c>
      <c r="B16" s="11">
        <f>55357.3+23842.5+18793.75+15035+22555.1+10000.7+5000+42000+23637</f>
        <v>216221.35</v>
      </c>
      <c r="C16" s="22">
        <v>1</v>
      </c>
      <c r="D16" s="19" t="s">
        <v>26</v>
      </c>
      <c r="E16" s="10">
        <f t="shared" si="1"/>
        <v>216221.35</v>
      </c>
      <c r="F16" s="10"/>
      <c r="G16" s="7" t="s">
        <v>33</v>
      </c>
      <c r="H16" s="31"/>
      <c r="I16" s="35"/>
      <c r="J16" s="89" t="s">
        <v>47</v>
      </c>
      <c r="K16" s="66" t="s">
        <v>43</v>
      </c>
      <c r="L16" s="37"/>
    </row>
    <row r="17" spans="1:12" s="9" customFormat="1">
      <c r="A17" s="78" t="s">
        <v>21</v>
      </c>
      <c r="B17" s="11">
        <v>10000</v>
      </c>
      <c r="C17" s="22">
        <v>3</v>
      </c>
      <c r="D17" s="19" t="s">
        <v>26</v>
      </c>
      <c r="E17" s="10">
        <f t="shared" si="1"/>
        <v>10000</v>
      </c>
      <c r="F17" s="10"/>
      <c r="G17" s="7" t="s">
        <v>33</v>
      </c>
      <c r="H17" s="31"/>
      <c r="I17" s="35"/>
      <c r="J17" s="87"/>
      <c r="L17" s="37"/>
    </row>
    <row r="18" spans="1:12" s="9" customFormat="1">
      <c r="A18" s="78" t="s">
        <v>79</v>
      </c>
      <c r="B18" s="11">
        <v>5100</v>
      </c>
      <c r="C18" s="22"/>
      <c r="D18" s="19" t="s">
        <v>26</v>
      </c>
      <c r="E18" s="10">
        <f t="shared" si="1"/>
        <v>5100</v>
      </c>
      <c r="F18" s="10"/>
      <c r="G18" s="7" t="s">
        <v>33</v>
      </c>
      <c r="H18" s="31"/>
      <c r="I18" s="35"/>
      <c r="J18" s="87"/>
      <c r="L18" s="37"/>
    </row>
    <row r="19" spans="1:12" s="9" customFormat="1">
      <c r="A19" s="78" t="s">
        <v>81</v>
      </c>
      <c r="B19" s="11">
        <f>1000+4380</f>
        <v>5380</v>
      </c>
      <c r="C19" s="22"/>
      <c r="D19" s="19" t="s">
        <v>26</v>
      </c>
      <c r="E19" s="10">
        <f t="shared" si="1"/>
        <v>5380</v>
      </c>
      <c r="F19" s="10"/>
      <c r="G19" s="7" t="s">
        <v>33</v>
      </c>
      <c r="H19" s="31" t="s">
        <v>42</v>
      </c>
      <c r="I19" s="35"/>
      <c r="J19" s="87"/>
      <c r="L19" s="37"/>
    </row>
    <row r="20" spans="1:12" s="9" customFormat="1">
      <c r="A20" s="78" t="s">
        <v>32</v>
      </c>
      <c r="B20" s="11">
        <f>2*239</f>
        <v>478</v>
      </c>
      <c r="C20" s="22"/>
      <c r="D20" s="19" t="s">
        <v>26</v>
      </c>
      <c r="E20" s="10">
        <f t="shared" si="1"/>
        <v>478</v>
      </c>
      <c r="F20" s="10"/>
      <c r="G20" s="7" t="s">
        <v>33</v>
      </c>
      <c r="H20" s="98" t="s">
        <v>44</v>
      </c>
      <c r="I20" s="35"/>
      <c r="J20" s="87"/>
      <c r="L20" s="37"/>
    </row>
    <row r="21" spans="1:12" s="12" customFormat="1" ht="20.399999999999999" thickBot="1">
      <c r="A21" s="80" t="s">
        <v>49</v>
      </c>
      <c r="B21" s="81">
        <f>B23-B22</f>
        <v>5800</v>
      </c>
      <c r="C21" s="296"/>
      <c r="D21" s="297"/>
      <c r="E21" s="297"/>
      <c r="F21" s="297"/>
      <c r="G21" s="297"/>
      <c r="H21" s="298"/>
      <c r="I21" s="67"/>
      <c r="J21" s="89"/>
      <c r="K21" s="29"/>
      <c r="L21" s="68"/>
    </row>
    <row r="22" spans="1:12" ht="18.600000000000001" thickBot="1">
      <c r="A22" s="48" t="s">
        <v>30</v>
      </c>
      <c r="B22" s="50">
        <f>SUM(E4:E20)</f>
        <v>405268.61</v>
      </c>
      <c r="C22" s="299"/>
      <c r="D22" s="300"/>
      <c r="E22" s="300"/>
      <c r="F22" s="300"/>
      <c r="G22" s="300"/>
      <c r="H22" s="301"/>
      <c r="I22" s="67"/>
      <c r="J22" s="86"/>
      <c r="K22" s="6"/>
      <c r="L22" s="34"/>
    </row>
    <row r="23" spans="1:12" ht="18.600000000000001" thickBot="1">
      <c r="A23" s="49" t="s">
        <v>48</v>
      </c>
      <c r="B23" s="51">
        <f>SUM(B4:B20)</f>
        <v>411068.61</v>
      </c>
      <c r="C23" s="302"/>
      <c r="D23" s="303"/>
      <c r="E23" s="303"/>
      <c r="F23" s="303"/>
      <c r="G23" s="303"/>
      <c r="H23" s="304"/>
      <c r="I23" s="70"/>
      <c r="J23" s="71"/>
      <c r="K23" s="72"/>
      <c r="L23" s="73"/>
    </row>
    <row r="24" spans="1:12">
      <c r="B24" s="90"/>
      <c r="C24" s="91"/>
    </row>
    <row r="25" spans="1:12" ht="18.600000000000001" thickBot="1">
      <c r="E25" s="13"/>
      <c r="F25" s="13"/>
      <c r="G25" s="25"/>
    </row>
    <row r="26" spans="1:12" ht="18.600000000000001" thickBot="1">
      <c r="A26" s="55" t="s">
        <v>35</v>
      </c>
      <c r="B26" s="54" t="s">
        <v>27</v>
      </c>
      <c r="C26" s="56" t="s">
        <v>26</v>
      </c>
    </row>
    <row r="27" spans="1:12">
      <c r="A27" s="60" t="s">
        <v>22</v>
      </c>
      <c r="B27" s="62">
        <f>SUMIFS(B4:B20, G4:G20, "BIM", D4:D20, "&lt;&gt;Pago")</f>
        <v>0</v>
      </c>
      <c r="C27" s="57">
        <f>SUMIFS(B4:B20, G4:G20, "BIM", D4:D20, "Pago")</f>
        <v>20000</v>
      </c>
    </row>
    <row r="28" spans="1:12">
      <c r="A28" s="61" t="s">
        <v>36</v>
      </c>
      <c r="B28" s="63">
        <f>SUMIFS(B4:B20, G4:G20, "BIM C", D4:D20, "&lt;&gt;Pago")</f>
        <v>0</v>
      </c>
      <c r="C28" s="58">
        <f>SUMIFS(B4:B20, G4:G20, "BIM C", D4:D20, "Pago")</f>
        <v>74000</v>
      </c>
    </row>
    <row r="29" spans="1:12" ht="18.600000000000001" thickBot="1">
      <c r="A29" s="61" t="s">
        <v>33</v>
      </c>
      <c r="B29" s="64">
        <f>SUMIFS(B4:B20, G4:G20, "STB", D4:D20, "&lt;&gt;Pago")</f>
        <v>0</v>
      </c>
      <c r="C29" s="59">
        <f>SUMIFS(B4:B20, G4:G20, "STB", D4:D20, "Pago")</f>
        <v>317068.61</v>
      </c>
    </row>
    <row r="30" spans="1:12" ht="18.600000000000001" thickBot="1">
      <c r="A30" s="52" t="s">
        <v>38</v>
      </c>
      <c r="B30" s="53">
        <f>SUM(B27:B28)</f>
        <v>0</v>
      </c>
      <c r="C30" s="21"/>
    </row>
    <row r="31" spans="1:12">
      <c r="C31" s="21"/>
    </row>
    <row r="32" spans="1:12">
      <c r="C32" s="21"/>
    </row>
    <row r="33" spans="3:3">
      <c r="C33" s="21"/>
    </row>
    <row r="34" spans="3:3">
      <c r="C34" s="21"/>
    </row>
    <row r="35" spans="3:3">
      <c r="C35" s="21"/>
    </row>
    <row r="36" spans="3:3">
      <c r="C36" s="21"/>
    </row>
    <row r="37" spans="3:3">
      <c r="C37" s="21"/>
    </row>
    <row r="38" spans="3:3">
      <c r="C38" s="21"/>
    </row>
    <row r="39" spans="3:3">
      <c r="C39" s="21"/>
    </row>
    <row r="40" spans="3:3">
      <c r="C40" s="21"/>
    </row>
    <row r="41" spans="3:3">
      <c r="C41" s="21"/>
    </row>
    <row r="42" spans="3:3">
      <c r="C42" s="21"/>
    </row>
    <row r="43" spans="3:3">
      <c r="C43" s="21"/>
    </row>
  </sheetData>
  <mergeCells count="3">
    <mergeCell ref="A2:H2"/>
    <mergeCell ref="J3:K3"/>
    <mergeCell ref="C21:H23"/>
  </mergeCells>
  <phoneticPr fontId="33" type="noConversion"/>
  <hyperlinks>
    <hyperlink ref="F7" r:id="rId1" display="https://erp.entretech.co.mz/app/purchase-invoice/FT-FORN%2F26%2F075" xr:uid="{CE76BFAB-353B-4726-8EEE-E8D25D201D20}"/>
    <hyperlink ref="F8" r:id="rId2" display="https://erp.entretech.co.mz/app/purchase-invoice/FT-FORN%2F26%2F076" xr:uid="{7078FE31-02CE-4467-9A0C-CA382D714387}"/>
  </hyperlinks>
  <pageMargins left="0.7" right="0.7" top="0.75" bottom="0.75" header="0.3" footer="0.3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5" operator="containsText" id="{B086E376-076F-44BA-B834-B7D04BE1978D}">
            <xm:f>NOT(ISERROR(SEARCH(Config!$B$8,D4)))</xm:f>
            <xm:f>Config!$B$8</xm:f>
            <x14:dxf>
              <fill>
                <patternFill>
                  <bgColor theme="9" tint="0.79998168889431442"/>
                </patternFill>
              </fill>
            </x14:dxf>
          </x14:cfRule>
          <x14:cfRule type="containsText" priority="26" operator="containsText" id="{F1026988-5326-45E8-BFD1-AB082B0BAA09}">
            <xm:f>NOT(ISERROR(SEARCH(Config!$B$4,D4)))</xm:f>
            <xm:f>Config!$B$4</xm:f>
            <x14:dxf>
              <fill>
                <patternFill>
                  <bgColor theme="9"/>
                </patternFill>
              </fill>
            </x14:dxf>
          </x14:cfRule>
          <x14:cfRule type="containsText" priority="27" operator="containsText" id="{96C864B0-F13D-442A-A05C-B661E02E2851}">
            <xm:f>NOT(ISERROR(SEARCH(Config!$B$7,D4)))</xm:f>
            <xm:f>Config!$B$7</xm:f>
            <x14:dxf>
              <fill>
                <patternFill>
                  <bgColor theme="7" tint="0.39994506668294322"/>
                </patternFill>
              </fill>
            </x14:dxf>
          </x14:cfRule>
          <xm:sqref>D4:D20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Prioridade Invalida" error="Escolha prioridades da lista" promptTitle="Introduza a Prioridade" xr:uid="{4F24F5F2-1DFD-4174-860E-8BE94344117B}">
          <x14:formula1>
            <xm:f>Config!$C$3:$C$7</xm:f>
          </x14:formula1>
          <xm:sqref>C4:C20</xm:sqref>
        </x14:dataValidation>
        <x14:dataValidation type="list" allowBlank="1" showInputMessage="1" showErrorMessage="1" xr:uid="{7D671958-6941-4CE1-8ED0-3A9C4A91F7AB}">
          <x14:formula1>
            <xm:f>Config!$D$3:$D$5</xm:f>
          </x14:formula1>
          <xm:sqref>G4:G20</xm:sqref>
        </x14:dataValidation>
        <x14:dataValidation type="list" allowBlank="1" showInputMessage="1" showErrorMessage="1" errorTitle="Selecione apenas da lsitaLista" promptTitle="Selecione da Lista" xr:uid="{029F1C1C-7B40-4C94-B5DD-ADEA81574FDD}">
          <x14:formula1>
            <xm:f>Config!$B$3:$B$10</xm:f>
          </x14:formula1>
          <xm:sqref>D4:D20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C760C-9653-4449-A7A6-7526F26744D7}">
  <dimension ref="A1:L49"/>
  <sheetViews>
    <sheetView zoomScale="70" zoomScaleNormal="70" workbookViewId="0">
      <selection activeCell="B5" sqref="B5"/>
    </sheetView>
  </sheetViews>
  <sheetFormatPr defaultRowHeight="21"/>
  <cols>
    <col min="1" max="1" width="42.88671875" style="101" customWidth="1"/>
    <col min="2" max="2" width="21.5546875" style="101" customWidth="1"/>
    <col min="3" max="3" width="17.5546875" style="101" bestFit="1" customWidth="1"/>
    <col min="4" max="4" width="16.6640625" style="101" bestFit="1" customWidth="1"/>
    <col min="5" max="5" width="22.21875" style="101" hidden="1" customWidth="1"/>
    <col min="6" max="6" width="22.21875" style="101" customWidth="1"/>
    <col min="7" max="7" width="18.88671875" style="101" customWidth="1"/>
    <col min="8" max="8" width="70.21875" style="101" customWidth="1"/>
    <col min="9" max="9" width="5.44140625" style="101" customWidth="1"/>
    <col min="10" max="10" width="17" style="102" customWidth="1"/>
    <col min="11" max="11" width="30.77734375" style="101" customWidth="1"/>
    <col min="12" max="12" width="24.21875" style="101" customWidth="1"/>
    <col min="13" max="16384" width="8.88671875" style="101"/>
  </cols>
  <sheetData>
    <row r="1" spans="1:12" ht="21.6" thickBot="1">
      <c r="A1" s="101" t="s">
        <v>10</v>
      </c>
      <c r="B1" s="101" t="s">
        <v>93</v>
      </c>
    </row>
    <row r="2" spans="1:12" ht="21.6" thickBot="1">
      <c r="A2" s="308" t="s">
        <v>0</v>
      </c>
      <c r="B2" s="309"/>
      <c r="C2" s="309"/>
      <c r="D2" s="309"/>
      <c r="E2" s="309"/>
      <c r="F2" s="309"/>
      <c r="G2" s="309"/>
      <c r="H2" s="310"/>
      <c r="I2" s="103"/>
    </row>
    <row r="3" spans="1:12" ht="21.6" thickBot="1">
      <c r="A3" s="104" t="s">
        <v>2</v>
      </c>
      <c r="B3" s="105" t="s">
        <v>3</v>
      </c>
      <c r="C3" s="105" t="s">
        <v>25</v>
      </c>
      <c r="D3" s="105" t="s">
        <v>8</v>
      </c>
      <c r="E3" s="105" t="s">
        <v>50</v>
      </c>
      <c r="F3" s="105" t="s">
        <v>159</v>
      </c>
      <c r="G3" s="105" t="s">
        <v>34</v>
      </c>
      <c r="H3" s="106" t="s">
        <v>9</v>
      </c>
      <c r="I3" s="107"/>
      <c r="J3" s="311" t="s">
        <v>46</v>
      </c>
      <c r="K3" s="311"/>
      <c r="L3" s="108"/>
    </row>
    <row r="4" spans="1:12" s="118" customFormat="1">
      <c r="A4" s="109" t="s">
        <v>1</v>
      </c>
      <c r="B4" s="110">
        <v>12955.6</v>
      </c>
      <c r="C4" s="111"/>
      <c r="D4" s="112" t="s">
        <v>26</v>
      </c>
      <c r="E4" s="113">
        <f t="shared" ref="E4:E12" si="0">IF(D4="Pago",B4,)</f>
        <v>12955.6</v>
      </c>
      <c r="F4" s="232" t="s">
        <v>171</v>
      </c>
      <c r="G4" s="114" t="s">
        <v>33</v>
      </c>
      <c r="H4" s="115" t="s">
        <v>105</v>
      </c>
      <c r="I4" s="116"/>
      <c r="J4" s="117" t="s">
        <v>84</v>
      </c>
      <c r="L4" s="119"/>
    </row>
    <row r="5" spans="1:12" s="127" customFormat="1">
      <c r="A5" s="120" t="s">
        <v>11</v>
      </c>
      <c r="B5" s="101">
        <f>612.5+650+414.5+8628.75</f>
        <v>10305.75</v>
      </c>
      <c r="C5" s="111"/>
      <c r="D5" s="121" t="s">
        <v>26</v>
      </c>
      <c r="E5" s="113">
        <f t="shared" si="0"/>
        <v>10305.75</v>
      </c>
      <c r="F5" s="232" t="s">
        <v>172</v>
      </c>
      <c r="G5" s="122" t="s">
        <v>36</v>
      </c>
      <c r="H5" s="123"/>
      <c r="I5" s="124"/>
      <c r="J5" s="125"/>
      <c r="K5" s="118" t="s">
        <v>20</v>
      </c>
      <c r="L5" s="126"/>
    </row>
    <row r="6" spans="1:12" s="127" customFormat="1">
      <c r="A6" s="120" t="s">
        <v>13</v>
      </c>
      <c r="B6" s="128">
        <v>21656.39</v>
      </c>
      <c r="C6" s="111"/>
      <c r="D6" s="129" t="s">
        <v>26</v>
      </c>
      <c r="E6" s="130">
        <f t="shared" si="0"/>
        <v>21656.39</v>
      </c>
      <c r="F6" s="232" t="s">
        <v>173</v>
      </c>
      <c r="G6" s="131" t="s">
        <v>36</v>
      </c>
      <c r="H6" s="123"/>
      <c r="I6" s="124"/>
      <c r="J6" s="132">
        <f>3.92+222.88+165.68</f>
        <v>392.48</v>
      </c>
      <c r="K6" s="118" t="s">
        <v>19</v>
      </c>
      <c r="L6" s="126"/>
    </row>
    <row r="7" spans="1:12" s="127" customFormat="1" ht="42">
      <c r="A7" s="109" t="s">
        <v>100</v>
      </c>
      <c r="B7" s="133">
        <v>3000</v>
      </c>
      <c r="C7" s="134"/>
      <c r="D7" s="112" t="s">
        <v>26</v>
      </c>
      <c r="E7" s="113">
        <f t="shared" si="0"/>
        <v>3000</v>
      </c>
      <c r="F7" s="240" t="s">
        <v>186</v>
      </c>
      <c r="G7" s="114" t="s">
        <v>33</v>
      </c>
      <c r="H7" s="115" t="s">
        <v>15</v>
      </c>
      <c r="I7" s="116"/>
      <c r="J7" s="135">
        <f>1036.99+16649.99+1629.31</f>
        <v>19316.290000000005</v>
      </c>
      <c r="K7" s="118" t="s">
        <v>17</v>
      </c>
      <c r="L7" s="126"/>
    </row>
    <row r="8" spans="1:12" s="127" customFormat="1">
      <c r="A8" s="109" t="s">
        <v>108</v>
      </c>
      <c r="B8" s="136">
        <v>20000</v>
      </c>
      <c r="C8" s="134"/>
      <c r="D8" s="112" t="s">
        <v>26</v>
      </c>
      <c r="E8" s="113">
        <f>IF(D8="Pago",B8,)</f>
        <v>20000</v>
      </c>
      <c r="F8" s="113"/>
      <c r="G8" s="122" t="s">
        <v>33</v>
      </c>
      <c r="H8" s="115" t="s">
        <v>109</v>
      </c>
      <c r="I8" s="116"/>
      <c r="J8" s="135"/>
      <c r="K8" s="118"/>
      <c r="L8" s="126"/>
    </row>
    <row r="9" spans="1:12" s="127" customFormat="1">
      <c r="A9" s="120" t="s">
        <v>4</v>
      </c>
      <c r="B9" s="137">
        <v>7500</v>
      </c>
      <c r="C9" s="134"/>
      <c r="D9" s="121" t="s">
        <v>26</v>
      </c>
      <c r="E9" s="113">
        <f t="shared" si="0"/>
        <v>7500</v>
      </c>
      <c r="F9" s="113"/>
      <c r="G9" s="122" t="s">
        <v>36</v>
      </c>
      <c r="H9" s="123"/>
      <c r="I9" s="124"/>
      <c r="J9" s="135">
        <v>16500</v>
      </c>
      <c r="K9" s="118" t="s">
        <v>18</v>
      </c>
      <c r="L9" s="126"/>
    </row>
    <row r="10" spans="1:12" s="127" customFormat="1">
      <c r="A10" s="120"/>
      <c r="B10" s="137"/>
      <c r="C10" s="134"/>
      <c r="D10" s="121"/>
      <c r="E10" s="113">
        <f t="shared" si="0"/>
        <v>0</v>
      </c>
      <c r="F10" s="113"/>
      <c r="G10" s="122" t="s">
        <v>36</v>
      </c>
      <c r="H10" s="123"/>
      <c r="I10" s="124"/>
      <c r="J10" s="135">
        <f>J9+J7</f>
        <v>35816.290000000008</v>
      </c>
      <c r="L10" s="126"/>
    </row>
    <row r="11" spans="1:12" s="118" customFormat="1">
      <c r="A11" s="120" t="s">
        <v>14</v>
      </c>
      <c r="B11" s="137">
        <v>20000</v>
      </c>
      <c r="C11" s="134"/>
      <c r="D11" s="121" t="s">
        <v>26</v>
      </c>
      <c r="E11" s="113">
        <f t="shared" si="0"/>
        <v>20000</v>
      </c>
      <c r="F11" s="113"/>
      <c r="G11" s="122" t="s">
        <v>22</v>
      </c>
      <c r="H11" s="123" t="s">
        <v>53</v>
      </c>
      <c r="I11" s="124"/>
      <c r="J11" s="135" t="s">
        <v>52</v>
      </c>
      <c r="L11" s="119"/>
    </row>
    <row r="12" spans="1:12" s="118" customFormat="1">
      <c r="A12" s="109" t="s">
        <v>5</v>
      </c>
      <c r="B12" s="133">
        <v>74000</v>
      </c>
      <c r="C12" s="134"/>
      <c r="D12" s="138" t="s">
        <v>26</v>
      </c>
      <c r="E12" s="113">
        <f t="shared" si="0"/>
        <v>74000</v>
      </c>
      <c r="F12" s="113"/>
      <c r="G12" s="114" t="s">
        <v>36</v>
      </c>
      <c r="H12" s="115"/>
      <c r="I12" s="116"/>
      <c r="J12" s="117" t="s">
        <v>107</v>
      </c>
      <c r="L12" s="119"/>
    </row>
    <row r="13" spans="1:12" s="118" customFormat="1">
      <c r="A13" s="109" t="s">
        <v>72</v>
      </c>
      <c r="B13" s="133">
        <v>5800</v>
      </c>
      <c r="C13" s="134"/>
      <c r="D13" s="121" t="s">
        <v>26</v>
      </c>
      <c r="E13" s="113"/>
      <c r="F13" s="113"/>
      <c r="G13" s="114" t="s">
        <v>33</v>
      </c>
      <c r="H13" s="114" t="s">
        <v>75</v>
      </c>
      <c r="J13" s="118">
        <f>35816.29-5000-5000-5000</f>
        <v>20816.29</v>
      </c>
      <c r="L13" s="119"/>
    </row>
    <row r="14" spans="1:12" s="118" customFormat="1">
      <c r="A14" s="109" t="s">
        <v>6</v>
      </c>
      <c r="B14" s="133">
        <v>3000</v>
      </c>
      <c r="C14" s="134"/>
      <c r="D14" s="112" t="s">
        <v>26</v>
      </c>
      <c r="E14" s="113">
        <f t="shared" ref="E14:E25" si="1">IF(D14="Pago",B14,)</f>
        <v>3000</v>
      </c>
      <c r="F14" s="113"/>
      <c r="G14" s="114" t="s">
        <v>33</v>
      </c>
      <c r="H14" s="115"/>
      <c r="I14" s="116"/>
      <c r="J14" s="135"/>
      <c r="L14" s="119"/>
    </row>
    <row r="15" spans="1:12" s="127" customFormat="1">
      <c r="A15" s="120" t="s">
        <v>12</v>
      </c>
      <c r="B15" s="136">
        <v>206764.5</v>
      </c>
      <c r="C15" s="134"/>
      <c r="D15" s="121" t="s">
        <v>26</v>
      </c>
      <c r="E15" s="113">
        <f t="shared" si="1"/>
        <v>206764.5</v>
      </c>
      <c r="F15" s="113"/>
      <c r="G15" s="122" t="s">
        <v>33</v>
      </c>
      <c r="H15" s="123"/>
      <c r="I15" s="124"/>
      <c r="J15" s="139" t="s">
        <v>47</v>
      </c>
      <c r="K15" s="140" t="s">
        <v>43</v>
      </c>
      <c r="L15" s="126"/>
    </row>
    <row r="16" spans="1:12" s="127" customFormat="1">
      <c r="A16" s="120" t="s">
        <v>106</v>
      </c>
      <c r="B16" s="136">
        <f>2800+10745+1750+1890</f>
        <v>17185</v>
      </c>
      <c r="C16" s="134"/>
      <c r="D16" s="121" t="s">
        <v>26</v>
      </c>
      <c r="E16" s="113">
        <f t="shared" si="1"/>
        <v>17185</v>
      </c>
      <c r="F16" s="113"/>
      <c r="G16" s="122" t="s">
        <v>36</v>
      </c>
      <c r="H16" s="123"/>
      <c r="I16" s="124"/>
      <c r="J16" s="139"/>
      <c r="K16" s="140"/>
      <c r="L16" s="126"/>
    </row>
    <row r="17" spans="1:12" s="127" customFormat="1">
      <c r="A17" s="120" t="s">
        <v>21</v>
      </c>
      <c r="B17" s="136">
        <f>3873+3000+3660.5+6716+3000</f>
        <v>20249.5</v>
      </c>
      <c r="C17" s="134"/>
      <c r="D17" s="121" t="s">
        <v>26</v>
      </c>
      <c r="E17" s="113">
        <f t="shared" si="1"/>
        <v>20249.5</v>
      </c>
      <c r="F17" s="113"/>
      <c r="G17" s="122" t="s">
        <v>33</v>
      </c>
      <c r="H17" s="123"/>
      <c r="I17" s="124"/>
      <c r="J17" s="125"/>
      <c r="L17" s="126"/>
    </row>
    <row r="18" spans="1:12" s="127" customFormat="1">
      <c r="A18" s="78" t="s">
        <v>67</v>
      </c>
      <c r="B18" s="136">
        <v>1800</v>
      </c>
      <c r="C18" s="134"/>
      <c r="D18" s="121" t="s">
        <v>26</v>
      </c>
      <c r="E18" s="113">
        <f t="shared" ref="E18:E24" si="2">IF(D18="Pago",B18,)</f>
        <v>1800</v>
      </c>
      <c r="F18" s="113"/>
      <c r="G18" s="122" t="s">
        <v>33</v>
      </c>
      <c r="H18" s="31" t="s">
        <v>76</v>
      </c>
      <c r="I18" s="124"/>
      <c r="J18" s="125"/>
      <c r="L18" s="126"/>
    </row>
    <row r="19" spans="1:12" s="127" customFormat="1">
      <c r="A19" s="120" t="s">
        <v>92</v>
      </c>
      <c r="B19" s="136">
        <v>7500</v>
      </c>
      <c r="C19" s="134"/>
      <c r="D19" s="121" t="s">
        <v>26</v>
      </c>
      <c r="E19" s="113">
        <f t="shared" si="2"/>
        <v>7500</v>
      </c>
      <c r="F19" s="113"/>
      <c r="G19" s="122" t="s">
        <v>33</v>
      </c>
      <c r="H19" s="123"/>
      <c r="I19" s="124"/>
      <c r="J19" s="125"/>
      <c r="L19" s="126"/>
    </row>
    <row r="20" spans="1:12" s="127" customFormat="1">
      <c r="A20" s="101" t="s">
        <v>96</v>
      </c>
      <c r="B20" s="136">
        <v>69000</v>
      </c>
      <c r="C20" s="134"/>
      <c r="D20" s="121" t="s">
        <v>26</v>
      </c>
      <c r="E20" s="113">
        <f t="shared" si="2"/>
        <v>69000</v>
      </c>
      <c r="F20" s="113"/>
      <c r="G20" s="122" t="s">
        <v>33</v>
      </c>
      <c r="H20" s="123"/>
      <c r="I20" s="124"/>
      <c r="J20" s="125"/>
      <c r="L20" s="126"/>
    </row>
    <row r="21" spans="1:12" s="127" customFormat="1">
      <c r="A21" s="118" t="s">
        <v>97</v>
      </c>
      <c r="B21" s="136">
        <v>7000</v>
      </c>
      <c r="C21" s="134"/>
      <c r="D21" s="121" t="s">
        <v>26</v>
      </c>
      <c r="E21" s="113">
        <f t="shared" si="2"/>
        <v>7000</v>
      </c>
      <c r="F21" s="113"/>
      <c r="G21" s="122" t="s">
        <v>33</v>
      </c>
      <c r="H21" s="123"/>
      <c r="I21" s="124"/>
      <c r="J21" s="125"/>
      <c r="L21" s="126"/>
    </row>
    <row r="22" spans="1:12" s="127" customFormat="1">
      <c r="A22" s="120" t="s">
        <v>104</v>
      </c>
      <c r="B22" s="136">
        <v>3000</v>
      </c>
      <c r="C22" s="134"/>
      <c r="D22" s="121" t="s">
        <v>26</v>
      </c>
      <c r="E22" s="113">
        <f t="shared" si="2"/>
        <v>3000</v>
      </c>
      <c r="F22" s="113"/>
      <c r="G22" s="122" t="s">
        <v>33</v>
      </c>
      <c r="H22" s="123"/>
      <c r="I22" s="124"/>
      <c r="J22" s="125"/>
      <c r="L22" s="126"/>
    </row>
    <row r="23" spans="1:12" s="127" customFormat="1">
      <c r="A23" s="120" t="s">
        <v>101</v>
      </c>
      <c r="B23" s="136">
        <v>3900</v>
      </c>
      <c r="C23" s="134"/>
      <c r="D23" s="121" t="s">
        <v>26</v>
      </c>
      <c r="E23" s="113">
        <f t="shared" si="2"/>
        <v>3900</v>
      </c>
      <c r="F23" s="113"/>
      <c r="G23" s="122" t="s">
        <v>36</v>
      </c>
      <c r="H23" s="123"/>
      <c r="I23" s="124"/>
      <c r="J23" s="125"/>
      <c r="L23" s="126"/>
    </row>
    <row r="24" spans="1:12" s="127" customFormat="1">
      <c r="A24" s="120" t="s">
        <v>102</v>
      </c>
      <c r="B24" s="136">
        <v>1500</v>
      </c>
      <c r="C24" s="134"/>
      <c r="D24" s="121" t="s">
        <v>26</v>
      </c>
      <c r="E24" s="113">
        <f t="shared" si="2"/>
        <v>1500</v>
      </c>
      <c r="F24" s="113"/>
      <c r="G24" s="122" t="s">
        <v>36</v>
      </c>
      <c r="H24" s="123"/>
      <c r="I24" s="124"/>
      <c r="J24" s="125"/>
      <c r="L24" s="126"/>
    </row>
    <row r="25" spans="1:12" s="127" customFormat="1">
      <c r="A25" s="120" t="s">
        <v>103</v>
      </c>
      <c r="B25" s="136">
        <f>5825+3000</f>
        <v>8825</v>
      </c>
      <c r="C25" s="134"/>
      <c r="D25" s="121" t="s">
        <v>26</v>
      </c>
      <c r="E25" s="113">
        <f t="shared" si="1"/>
        <v>8825</v>
      </c>
      <c r="F25" s="113"/>
      <c r="G25" s="122" t="s">
        <v>36</v>
      </c>
      <c r="H25" s="123"/>
      <c r="I25" s="124"/>
      <c r="J25" s="125"/>
      <c r="L25" s="126"/>
    </row>
    <row r="26" spans="1:12" s="127" customFormat="1" ht="21" customHeight="1">
      <c r="A26" s="120" t="s">
        <v>95</v>
      </c>
      <c r="B26" s="136">
        <v>3500</v>
      </c>
      <c r="C26" s="134"/>
      <c r="D26" s="121" t="s">
        <v>26</v>
      </c>
      <c r="E26" s="113">
        <f>IF(D26="Pago",B26,)</f>
        <v>3500</v>
      </c>
      <c r="F26" s="113"/>
      <c r="G26" s="122" t="s">
        <v>33</v>
      </c>
      <c r="H26" s="123" t="s">
        <v>99</v>
      </c>
      <c r="I26" s="124"/>
      <c r="J26" s="139"/>
      <c r="K26" s="140"/>
      <c r="L26" s="126"/>
    </row>
    <row r="27" spans="1:12" s="146" customFormat="1" ht="25.2" thickBot="1">
      <c r="A27" s="141" t="s">
        <v>49</v>
      </c>
      <c r="B27" s="142">
        <f>B29-B28</f>
        <v>5800</v>
      </c>
      <c r="C27" s="312"/>
      <c r="D27" s="313"/>
      <c r="E27" s="313"/>
      <c r="F27" s="313"/>
      <c r="G27" s="313"/>
      <c r="H27" s="314"/>
      <c r="I27" s="143"/>
      <c r="J27" s="139"/>
      <c r="K27" s="144"/>
      <c r="L27" s="145"/>
    </row>
    <row r="28" spans="1:12" ht="25.2" thickBot="1">
      <c r="A28" s="147" t="s">
        <v>30</v>
      </c>
      <c r="B28" s="148">
        <f>SUM(E4:E26)</f>
        <v>522641.74</v>
      </c>
      <c r="C28" s="315"/>
      <c r="D28" s="316"/>
      <c r="E28" s="316"/>
      <c r="F28" s="316"/>
      <c r="G28" s="316"/>
      <c r="H28" s="317"/>
      <c r="I28" s="143"/>
      <c r="J28" s="135"/>
      <c r="K28" s="118"/>
      <c r="L28" s="119"/>
    </row>
    <row r="29" spans="1:12" ht="21.6" thickBot="1">
      <c r="A29" s="141" t="s">
        <v>48</v>
      </c>
      <c r="B29" s="149">
        <f>SUM(B4:B26)</f>
        <v>528441.74</v>
      </c>
      <c r="C29" s="318"/>
      <c r="D29" s="319"/>
      <c r="E29" s="319"/>
      <c r="F29" s="319"/>
      <c r="G29" s="319"/>
      <c r="H29" s="320"/>
      <c r="I29" s="150"/>
      <c r="J29" s="151"/>
      <c r="K29" s="152"/>
      <c r="L29" s="153"/>
    </row>
    <row r="30" spans="1:12">
      <c r="B30" s="154"/>
      <c r="C30" s="155"/>
    </row>
    <row r="31" spans="1:12" ht="21.6" thickBot="1">
      <c r="E31" s="156"/>
      <c r="F31" s="156"/>
      <c r="G31" s="157"/>
    </row>
    <row r="32" spans="1:12" ht="21.6" thickBot="1">
      <c r="A32" s="158" t="s">
        <v>35</v>
      </c>
      <c r="B32" s="159" t="s">
        <v>27</v>
      </c>
      <c r="C32" s="160" t="s">
        <v>26</v>
      </c>
    </row>
    <row r="33" spans="1:3">
      <c r="A33" s="161" t="s">
        <v>22</v>
      </c>
      <c r="B33" s="162">
        <f>SUMIFS(B4:B26, G4:G26, "BIM", D4:D26, "&lt;&gt;Pago")</f>
        <v>0</v>
      </c>
      <c r="C33" s="163">
        <f>SUMIFS(B4:B26, G4:G26, "BIM", D4:D26, "Pago")</f>
        <v>20000</v>
      </c>
    </row>
    <row r="34" spans="1:3">
      <c r="A34" s="164" t="s">
        <v>36</v>
      </c>
      <c r="B34" s="165">
        <f>SUMIFS(B4:B26, G4:G26, "BIM C", D4:D26, "&lt;&gt;Pago")</f>
        <v>0</v>
      </c>
      <c r="C34" s="166">
        <f>SUMIFS(B4:B26, G4:G26, "BIM C", D4:D26, "Pago")</f>
        <v>144872.14000000001</v>
      </c>
    </row>
    <row r="35" spans="1:3" ht="21.6" thickBot="1">
      <c r="A35" s="164" t="s">
        <v>33</v>
      </c>
      <c r="B35" s="167">
        <f>SUMIFS(B4:B26, G4:G26, "STB", D4:D26, "&lt;&gt;Pago")</f>
        <v>0</v>
      </c>
      <c r="C35" s="168">
        <f>SUMIFS(B4:B26, G4:G26, "STB", D4:D26, "Pago")</f>
        <v>363569.6</v>
      </c>
    </row>
    <row r="36" spans="1:3" ht="21.6" thickBot="1">
      <c r="A36" s="169" t="s">
        <v>38</v>
      </c>
      <c r="B36" s="170">
        <f>SUM(B33:B34)</f>
        <v>0</v>
      </c>
      <c r="C36" s="102"/>
    </row>
    <row r="37" spans="1:3">
      <c r="C37" s="102"/>
    </row>
    <row r="38" spans="1:3">
      <c r="C38" s="102"/>
    </row>
    <row r="39" spans="1:3">
      <c r="C39" s="102"/>
    </row>
    <row r="40" spans="1:3">
      <c r="C40" s="102"/>
    </row>
    <row r="41" spans="1:3">
      <c r="C41" s="102"/>
    </row>
    <row r="42" spans="1:3">
      <c r="C42" s="102"/>
    </row>
    <row r="43" spans="1:3">
      <c r="C43" s="102"/>
    </row>
    <row r="44" spans="1:3">
      <c r="C44" s="102"/>
    </row>
    <row r="45" spans="1:3">
      <c r="C45" s="102"/>
    </row>
    <row r="46" spans="1:3">
      <c r="C46" s="102"/>
    </row>
    <row r="47" spans="1:3">
      <c r="C47" s="102"/>
    </row>
    <row r="48" spans="1:3">
      <c r="C48" s="102"/>
    </row>
    <row r="49" spans="3:3">
      <c r="C49" s="102"/>
    </row>
  </sheetData>
  <mergeCells count="3">
    <mergeCell ref="A2:H2"/>
    <mergeCell ref="J3:K3"/>
    <mergeCell ref="C27:H29"/>
  </mergeCells>
  <phoneticPr fontId="33" type="noConversion"/>
  <hyperlinks>
    <hyperlink ref="F4" r:id="rId1" display="https://erp.entretech.co.mz/app/purchase-invoice/FT-FORN%2F26%2F150" xr:uid="{21E2074F-3040-43AC-BC57-16FDAE75518D}"/>
    <hyperlink ref="F5" r:id="rId2" display="https://erp.entretech.co.mz/app/purchase-invoice/FT-FORN%2F26%2F080" xr:uid="{885EE1A4-621F-4CC9-A8FB-8547EA1F72BE}"/>
    <hyperlink ref="F6" r:id="rId3" display="https://erp.entretech.co.mz/app/purchase-invoice/FT-FORN%2F26%2F081" xr:uid="{4F134925-EFC6-4BA3-B3DC-9804B5E80F5B}"/>
  </hyperlinks>
  <pageMargins left="0.7" right="0.7" top="0.75" bottom="0.75" header="0.3" footer="0.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8" operator="containsText" id="{875DE053-584B-4839-B708-A0B25C493FF9}">
            <xm:f>NOT(ISERROR(SEARCH(Config!$B$8,D4)))</xm:f>
            <xm:f>Config!$B$8</xm:f>
            <x14:dxf>
              <fill>
                <patternFill>
                  <bgColor theme="9" tint="0.79998168889431442"/>
                </patternFill>
              </fill>
            </x14:dxf>
          </x14:cfRule>
          <x14:cfRule type="containsText" priority="29" operator="containsText" id="{B7116B80-F1BD-4366-822F-747C7A9A5BDE}">
            <xm:f>NOT(ISERROR(SEARCH(Config!$B$4,D4)))</xm:f>
            <xm:f>Config!$B$4</xm:f>
            <x14:dxf>
              <fill>
                <patternFill>
                  <bgColor theme="9"/>
                </patternFill>
              </fill>
            </x14:dxf>
          </x14:cfRule>
          <x14:cfRule type="containsText" priority="30" operator="containsText" id="{0E4DC67C-D27D-453D-BC4B-FB7F7147E2E9}">
            <xm:f>NOT(ISERROR(SEARCH(Config!$B$7,D4)))</xm:f>
            <xm:f>Config!$B$7</xm:f>
            <x14:dxf>
              <fill>
                <patternFill>
                  <bgColor theme="7" tint="0.39994506668294322"/>
                </patternFill>
              </fill>
            </x14:dxf>
          </x14:cfRule>
          <xm:sqref>D4:D26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311EE3F-722C-426A-B4F9-9F1136B501F9}">
          <x14:formula1>
            <xm:f>Config!$D$3:$D$5</xm:f>
          </x14:formula1>
          <xm:sqref>G4:G26</xm:sqref>
        </x14:dataValidation>
        <x14:dataValidation type="list" allowBlank="1" showInputMessage="1" showErrorMessage="1" errorTitle="Prioridade Invalida" error="Escolha prioridades da lista" promptTitle="Introduza a Prioridade" xr:uid="{836F4701-5977-4030-A501-2581469DD975}">
          <x14:formula1>
            <xm:f>Config!$C$3:$C$7</xm:f>
          </x14:formula1>
          <xm:sqref>C4:C26</xm:sqref>
        </x14:dataValidation>
        <x14:dataValidation type="list" allowBlank="1" showInputMessage="1" showErrorMessage="1" errorTitle="Selecione apenas da lsitaLista" promptTitle="Selecione da Lista" xr:uid="{33EC9DF5-F6CB-4A54-963A-0D9F9115EF37}">
          <x14:formula1>
            <xm:f>Config!$B$3:$B$10</xm:f>
          </x14:formula1>
          <xm:sqref>D4:D26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CF8B1-91CF-46EF-8ED0-8BBECDD3C31B}">
  <dimension ref="A1:L45"/>
  <sheetViews>
    <sheetView zoomScale="96" zoomScaleNormal="96" workbookViewId="0">
      <selection activeCell="B9" sqref="B9"/>
    </sheetView>
  </sheetViews>
  <sheetFormatPr defaultRowHeight="18"/>
  <cols>
    <col min="1" max="1" width="42.88671875" style="3" customWidth="1"/>
    <col min="2" max="2" width="21.5546875" style="3" customWidth="1"/>
    <col min="3" max="3" width="17.5546875" style="3" bestFit="1" customWidth="1"/>
    <col min="4" max="4" width="16.6640625" style="3" bestFit="1" customWidth="1"/>
    <col min="5" max="5" width="0" style="3" hidden="1" customWidth="1"/>
    <col min="6" max="6" width="15.109375" style="233" bestFit="1" customWidth="1"/>
    <col min="7" max="7" width="18.88671875" style="3" customWidth="1"/>
    <col min="8" max="8" width="70.21875" style="3" customWidth="1"/>
    <col min="9" max="9" width="5.44140625" style="3" customWidth="1"/>
    <col min="10" max="10" width="17" style="21" customWidth="1"/>
    <col min="11" max="11" width="30.77734375" style="3" customWidth="1"/>
    <col min="12" max="12" width="41" style="3" customWidth="1"/>
    <col min="13" max="16384" width="8.88671875" style="3"/>
  </cols>
  <sheetData>
    <row r="1" spans="1:12" ht="18.600000000000001" thickBot="1">
      <c r="A1" s="3" t="s">
        <v>10</v>
      </c>
      <c r="B1" s="3" t="s">
        <v>98</v>
      </c>
    </row>
    <row r="2" spans="1:12" ht="18.600000000000001" thickBot="1">
      <c r="A2" s="292" t="s">
        <v>0</v>
      </c>
      <c r="B2" s="293"/>
      <c r="C2" s="293"/>
      <c r="D2" s="293"/>
      <c r="E2" s="293"/>
      <c r="F2" s="293"/>
      <c r="G2" s="293"/>
      <c r="H2" s="294"/>
      <c r="I2" s="28"/>
    </row>
    <row r="3" spans="1:12" ht="18.600000000000001" thickBot="1">
      <c r="A3" s="82" t="s">
        <v>2</v>
      </c>
      <c r="B3" s="83" t="s">
        <v>3</v>
      </c>
      <c r="C3" s="83" t="s">
        <v>25</v>
      </c>
      <c r="D3" s="83" t="s">
        <v>8</v>
      </c>
      <c r="E3" s="83" t="s">
        <v>50</v>
      </c>
      <c r="F3" s="241" t="s">
        <v>167</v>
      </c>
      <c r="G3" s="83" t="s">
        <v>34</v>
      </c>
      <c r="H3" s="84" t="s">
        <v>9</v>
      </c>
      <c r="I3" s="74"/>
      <c r="J3" s="295" t="s">
        <v>46</v>
      </c>
      <c r="K3" s="295"/>
      <c r="L3" s="75"/>
    </row>
    <row r="4" spans="1:12" s="6" customFormat="1">
      <c r="A4" s="77" t="s">
        <v>1</v>
      </c>
      <c r="B4" s="100">
        <v>12955.6</v>
      </c>
      <c r="C4" s="14"/>
      <c r="D4" s="18" t="s">
        <v>26</v>
      </c>
      <c r="E4" s="10">
        <f t="shared" ref="E4:E12" si="0">IF(D4="Pago",B4,)</f>
        <v>12955.6</v>
      </c>
      <c r="F4" s="242" t="s">
        <v>177</v>
      </c>
      <c r="G4" s="4" t="s">
        <v>33</v>
      </c>
      <c r="H4" s="30" t="s">
        <v>111</v>
      </c>
      <c r="I4" s="32"/>
      <c r="J4" s="85" t="s">
        <v>84</v>
      </c>
      <c r="L4" s="34"/>
    </row>
    <row r="5" spans="1:12" s="9" customFormat="1" ht="43.2" customHeight="1">
      <c r="A5" s="78" t="s">
        <v>11</v>
      </c>
      <c r="B5" s="3">
        <f>612.5+650+414.5+8628.75</f>
        <v>10305.75</v>
      </c>
      <c r="C5" s="14"/>
      <c r="D5" s="19" t="s">
        <v>26</v>
      </c>
      <c r="E5" s="10">
        <f t="shared" si="0"/>
        <v>10305.75</v>
      </c>
      <c r="F5" s="234" t="s">
        <v>175</v>
      </c>
      <c r="G5" s="7" t="s">
        <v>36</v>
      </c>
      <c r="H5" s="31"/>
      <c r="I5" s="35"/>
      <c r="J5" s="87"/>
      <c r="K5" s="6" t="s">
        <v>20</v>
      </c>
      <c r="L5" s="37"/>
    </row>
    <row r="6" spans="1:12" s="9" customFormat="1" ht="28.8">
      <c r="A6" s="78" t="s">
        <v>13</v>
      </c>
      <c r="B6" s="43">
        <v>29582.23</v>
      </c>
      <c r="C6" s="14"/>
      <c r="D6" s="44" t="s">
        <v>26</v>
      </c>
      <c r="E6" s="45">
        <f t="shared" si="0"/>
        <v>29582.23</v>
      </c>
      <c r="F6" s="234" t="s">
        <v>176</v>
      </c>
      <c r="G6" s="42" t="s">
        <v>33</v>
      </c>
      <c r="H6" s="31"/>
      <c r="I6" s="35"/>
      <c r="J6" s="88">
        <f>3.92+222.88+165.68</f>
        <v>392.48</v>
      </c>
      <c r="K6" s="6" t="s">
        <v>19</v>
      </c>
      <c r="L6" s="37"/>
    </row>
    <row r="7" spans="1:12" s="9" customFormat="1">
      <c r="A7" s="77" t="s">
        <v>7</v>
      </c>
      <c r="B7" s="5">
        <v>3000</v>
      </c>
      <c r="C7" s="22"/>
      <c r="D7" s="18" t="s">
        <v>26</v>
      </c>
      <c r="E7" s="10">
        <f t="shared" si="0"/>
        <v>3000</v>
      </c>
      <c r="F7" s="242" t="s">
        <v>188</v>
      </c>
      <c r="G7" s="4" t="s">
        <v>33</v>
      </c>
      <c r="H7" s="30" t="s">
        <v>15</v>
      </c>
      <c r="I7" s="32"/>
      <c r="J7" s="86">
        <f>1036.99+16649.99+1629.31</f>
        <v>19316.290000000005</v>
      </c>
      <c r="K7" s="6" t="s">
        <v>17</v>
      </c>
      <c r="L7" s="37"/>
    </row>
    <row r="8" spans="1:12" s="9" customFormat="1">
      <c r="A8" s="78" t="s">
        <v>4</v>
      </c>
      <c r="B8" s="8">
        <v>5000</v>
      </c>
      <c r="C8" s="22"/>
      <c r="D8" s="19" t="s">
        <v>26</v>
      </c>
      <c r="E8" s="10">
        <f t="shared" si="0"/>
        <v>5000</v>
      </c>
      <c r="F8" s="242"/>
      <c r="G8" s="7" t="s">
        <v>33</v>
      </c>
      <c r="H8" s="31"/>
      <c r="I8" s="35"/>
      <c r="J8" s="86">
        <v>16500</v>
      </c>
      <c r="K8" s="6" t="s">
        <v>18</v>
      </c>
      <c r="L8" s="37"/>
    </row>
    <row r="9" spans="1:12" s="9" customFormat="1">
      <c r="A9" s="78" t="s">
        <v>39</v>
      </c>
      <c r="B9" s="8">
        <f>1500+2000</f>
        <v>3500</v>
      </c>
      <c r="C9" s="22"/>
      <c r="D9" s="19" t="s">
        <v>26</v>
      </c>
      <c r="E9" s="10">
        <f t="shared" si="0"/>
        <v>3500</v>
      </c>
      <c r="F9" s="242"/>
      <c r="G9" s="7" t="s">
        <v>36</v>
      </c>
      <c r="H9" s="31"/>
      <c r="I9" s="35"/>
      <c r="J9" s="86">
        <f>J8+J7</f>
        <v>35816.290000000008</v>
      </c>
      <c r="L9" s="37"/>
    </row>
    <row r="10" spans="1:12" s="6" customFormat="1">
      <c r="A10" s="78" t="s">
        <v>126</v>
      </c>
      <c r="B10" s="5">
        <f>2500+1800</f>
        <v>4300</v>
      </c>
      <c r="C10" s="22"/>
      <c r="D10" s="18" t="s">
        <v>26</v>
      </c>
      <c r="E10" s="10">
        <f t="shared" si="0"/>
        <v>4300</v>
      </c>
      <c r="F10" s="242"/>
      <c r="G10" s="7" t="s">
        <v>33</v>
      </c>
      <c r="H10" s="178" t="s">
        <v>127</v>
      </c>
      <c r="I10" s="35"/>
      <c r="J10" s="86"/>
      <c r="L10" s="34"/>
    </row>
    <row r="11" spans="1:12" s="6" customFormat="1">
      <c r="A11" s="78" t="s">
        <v>14</v>
      </c>
      <c r="B11" s="8">
        <v>20000</v>
      </c>
      <c r="C11" s="22"/>
      <c r="D11" s="19" t="s">
        <v>26</v>
      </c>
      <c r="E11" s="10">
        <f t="shared" si="0"/>
        <v>20000</v>
      </c>
      <c r="F11" s="242"/>
      <c r="G11" s="7" t="s">
        <v>33</v>
      </c>
      <c r="H11" s="31" t="s">
        <v>53</v>
      </c>
      <c r="I11" s="35"/>
      <c r="J11" s="86" t="s">
        <v>52</v>
      </c>
      <c r="L11" s="34"/>
    </row>
    <row r="12" spans="1:12" s="6" customFormat="1">
      <c r="A12" s="77" t="s">
        <v>5</v>
      </c>
      <c r="B12" s="5">
        <f>27763+63000</f>
        <v>90763</v>
      </c>
      <c r="C12" s="22"/>
      <c r="D12" s="19" t="s">
        <v>26</v>
      </c>
      <c r="E12" s="10">
        <f t="shared" si="0"/>
        <v>90763</v>
      </c>
      <c r="F12" s="242"/>
      <c r="G12" s="4"/>
      <c r="H12" s="30"/>
      <c r="I12" s="32"/>
      <c r="J12" s="85" t="s">
        <v>112</v>
      </c>
      <c r="L12" s="34"/>
    </row>
    <row r="13" spans="1:12" s="6" customFormat="1">
      <c r="A13" s="77" t="s">
        <v>72</v>
      </c>
      <c r="B13" s="5">
        <v>5800</v>
      </c>
      <c r="C13" s="22"/>
      <c r="D13" s="19" t="s">
        <v>26</v>
      </c>
      <c r="E13" s="10"/>
      <c r="F13" s="242"/>
      <c r="G13" s="4" t="s">
        <v>33</v>
      </c>
      <c r="H13" s="4" t="s">
        <v>75</v>
      </c>
      <c r="J13" s="6">
        <f>35816.29-5000-5000-5000-5000</f>
        <v>15816.29</v>
      </c>
      <c r="L13" s="34"/>
    </row>
    <row r="14" spans="1:12" s="6" customFormat="1">
      <c r="A14" s="77" t="s">
        <v>6</v>
      </c>
      <c r="B14" s="5">
        <v>3000</v>
      </c>
      <c r="C14" s="22"/>
      <c r="D14" s="18" t="s">
        <v>26</v>
      </c>
      <c r="E14" s="10">
        <f t="shared" ref="E14:E21" si="1">IF(D14="Pago",B14,)</f>
        <v>3000</v>
      </c>
      <c r="F14" s="242"/>
      <c r="G14" s="4" t="s">
        <v>33</v>
      </c>
      <c r="H14" s="30"/>
      <c r="I14" s="32"/>
      <c r="J14" s="86"/>
      <c r="L14" s="34"/>
    </row>
    <row r="15" spans="1:12" s="9" customFormat="1">
      <c r="A15" s="78" t="s">
        <v>12</v>
      </c>
      <c r="B15" s="11">
        <f>55357.3+23842.5+18793.75+15035+22555.1+10000.7+5000+42000+23637</f>
        <v>216221.35</v>
      </c>
      <c r="C15" s="22"/>
      <c r="D15" s="19" t="s">
        <v>26</v>
      </c>
      <c r="E15" s="10">
        <f t="shared" si="1"/>
        <v>216221.35</v>
      </c>
      <c r="F15" s="242"/>
      <c r="G15" s="7" t="s">
        <v>33</v>
      </c>
      <c r="H15" s="31"/>
      <c r="I15" s="35"/>
      <c r="J15" s="89" t="s">
        <v>47</v>
      </c>
      <c r="K15" s="66" t="s">
        <v>43</v>
      </c>
      <c r="L15" s="37"/>
    </row>
    <row r="16" spans="1:12" s="9" customFormat="1">
      <c r="A16" s="78" t="s">
        <v>110</v>
      </c>
      <c r="B16" s="11">
        <v>9000</v>
      </c>
      <c r="C16" s="22"/>
      <c r="D16" s="19" t="s">
        <v>26</v>
      </c>
      <c r="E16" s="10">
        <f t="shared" si="1"/>
        <v>9000</v>
      </c>
      <c r="F16" s="242"/>
      <c r="G16" s="7" t="s">
        <v>36</v>
      </c>
      <c r="H16" s="31"/>
      <c r="I16" s="35"/>
      <c r="J16" s="89"/>
      <c r="K16" s="66"/>
      <c r="L16" s="37"/>
    </row>
    <row r="17" spans="1:12" s="9" customFormat="1">
      <c r="A17" s="78" t="s">
        <v>21</v>
      </c>
      <c r="B17" s="11">
        <v>20000</v>
      </c>
      <c r="C17" s="22"/>
      <c r="D17" s="19" t="s">
        <v>26</v>
      </c>
      <c r="E17" s="10">
        <f t="shared" si="1"/>
        <v>20000</v>
      </c>
      <c r="F17" s="242"/>
      <c r="G17" s="7" t="s">
        <v>33</v>
      </c>
      <c r="H17" s="31"/>
      <c r="I17" s="35"/>
      <c r="J17" s="87"/>
      <c r="L17" s="37"/>
    </row>
    <row r="18" spans="1:12" s="9" customFormat="1" ht="28.8">
      <c r="A18" s="78" t="s">
        <v>116</v>
      </c>
      <c r="B18" s="11">
        <v>55162</v>
      </c>
      <c r="C18" s="22"/>
      <c r="D18" s="19" t="s">
        <v>26</v>
      </c>
      <c r="E18" s="10">
        <f t="shared" si="1"/>
        <v>55162</v>
      </c>
      <c r="F18" s="234" t="s">
        <v>174</v>
      </c>
      <c r="G18" s="7" t="s">
        <v>36</v>
      </c>
      <c r="H18" s="31" t="s">
        <v>119</v>
      </c>
      <c r="I18" s="35"/>
      <c r="J18" s="87"/>
      <c r="L18" s="37"/>
    </row>
    <row r="19" spans="1:12" s="9" customFormat="1">
      <c r="A19" s="78" t="s">
        <v>120</v>
      </c>
      <c r="B19" s="11">
        <v>600</v>
      </c>
      <c r="C19" s="22"/>
      <c r="D19" s="19" t="s">
        <v>26</v>
      </c>
      <c r="E19" s="10">
        <f t="shared" si="1"/>
        <v>600</v>
      </c>
      <c r="F19" s="242"/>
      <c r="G19" s="7" t="s">
        <v>33</v>
      </c>
      <c r="H19" s="31"/>
      <c r="I19" s="35"/>
      <c r="J19" s="87"/>
      <c r="L19" s="37"/>
    </row>
    <row r="20" spans="1:12" s="9" customFormat="1">
      <c r="A20" s="78" t="s">
        <v>122</v>
      </c>
      <c r="B20" s="11" t="s">
        <v>121</v>
      </c>
      <c r="C20" s="22"/>
      <c r="D20" s="19" t="s">
        <v>26</v>
      </c>
      <c r="E20" s="10" t="str">
        <f t="shared" si="1"/>
        <v>1000,00</v>
      </c>
      <c r="F20" s="242"/>
      <c r="G20" s="7" t="s">
        <v>33</v>
      </c>
      <c r="H20" s="31" t="s">
        <v>123</v>
      </c>
      <c r="I20" s="35"/>
      <c r="J20" s="87"/>
      <c r="L20" s="37"/>
    </row>
    <row r="21" spans="1:12" s="9" customFormat="1">
      <c r="A21" s="78" t="s">
        <v>124</v>
      </c>
      <c r="B21" s="11">
        <v>2710.19</v>
      </c>
      <c r="C21" s="22"/>
      <c r="D21" s="19" t="s">
        <v>26</v>
      </c>
      <c r="E21" s="10">
        <f t="shared" si="1"/>
        <v>2710.19</v>
      </c>
      <c r="F21" s="242"/>
      <c r="G21" s="7" t="s">
        <v>33</v>
      </c>
      <c r="H21" s="4" t="s">
        <v>75</v>
      </c>
      <c r="I21" s="35"/>
      <c r="J21" s="87"/>
      <c r="L21" s="37"/>
    </row>
    <row r="23" spans="1:12" s="12" customFormat="1" ht="21" thickBot="1">
      <c r="A23" s="49" t="s">
        <v>49</v>
      </c>
      <c r="B23" s="174">
        <f>B25-B24</f>
        <v>5800</v>
      </c>
      <c r="C23" s="296"/>
      <c r="D23" s="297"/>
      <c r="E23" s="297"/>
      <c r="F23" s="297"/>
      <c r="G23" s="297"/>
      <c r="H23" s="298"/>
      <c r="I23" s="175"/>
      <c r="J23" s="89"/>
      <c r="K23" s="29"/>
      <c r="L23" s="68"/>
    </row>
    <row r="24" spans="1:12" ht="21" thickBot="1">
      <c r="A24" s="48" t="s">
        <v>30</v>
      </c>
      <c r="B24" s="50">
        <f>SUM(E4:E21)</f>
        <v>486100.12000000005</v>
      </c>
      <c r="C24" s="299"/>
      <c r="D24" s="300"/>
      <c r="E24" s="300"/>
      <c r="F24" s="300"/>
      <c r="G24" s="300"/>
      <c r="H24" s="301"/>
      <c r="I24" s="175"/>
      <c r="J24" s="86"/>
      <c r="K24" s="6"/>
      <c r="L24" s="34"/>
    </row>
    <row r="25" spans="1:12" ht="18.600000000000001" thickBot="1">
      <c r="A25" s="49" t="s">
        <v>48</v>
      </c>
      <c r="B25" s="51">
        <f>SUM(B4:B21)</f>
        <v>491900.12000000005</v>
      </c>
      <c r="C25" s="302"/>
      <c r="D25" s="303"/>
      <c r="E25" s="303"/>
      <c r="F25" s="303"/>
      <c r="G25" s="303"/>
      <c r="H25" s="304"/>
      <c r="I25" s="70"/>
      <c r="J25" s="71"/>
      <c r="K25" s="72"/>
      <c r="L25" s="73"/>
    </row>
    <row r="26" spans="1:12">
      <c r="B26" s="176"/>
      <c r="C26" s="177"/>
    </row>
    <row r="27" spans="1:12" ht="18.600000000000001" thickBot="1">
      <c r="E27" s="13"/>
      <c r="F27" s="238"/>
      <c r="G27" s="25"/>
    </row>
    <row r="28" spans="1:12" ht="18.600000000000001" thickBot="1">
      <c r="A28" s="55" t="s">
        <v>35</v>
      </c>
      <c r="B28" s="54" t="s">
        <v>27</v>
      </c>
      <c r="C28" s="56" t="s">
        <v>26</v>
      </c>
    </row>
    <row r="29" spans="1:12">
      <c r="A29" s="60" t="s">
        <v>22</v>
      </c>
      <c r="B29" s="62">
        <f>SUMIFS(B4:B21, G4:G21, "BIM", D4:D21, "&lt;&gt;Pago")</f>
        <v>0</v>
      </c>
      <c r="C29" s="57">
        <f>SUMIFS(B4:B21, G4:G21, "BIM", D4:D21, "Pago")</f>
        <v>0</v>
      </c>
    </row>
    <row r="30" spans="1:12">
      <c r="A30" s="61" t="s">
        <v>36</v>
      </c>
      <c r="B30" s="63">
        <f>SUMIFS(B4:B21, G4:G21, "BIM C", D4:D21, "&lt;&gt;Pago")</f>
        <v>0</v>
      </c>
      <c r="C30" s="58">
        <f>SUMIFS(B4:B21, G4:G21, "BIM C", D4:D21, "Pago")</f>
        <v>77967.75</v>
      </c>
    </row>
    <row r="31" spans="1:12" ht="18.600000000000001" thickBot="1">
      <c r="A31" s="61" t="s">
        <v>33</v>
      </c>
      <c r="B31" s="64">
        <f>SUMIFS(B4:B21, G4:G21, "STB", D4:D21, "&lt;&gt;Pago")</f>
        <v>0</v>
      </c>
      <c r="C31" s="59">
        <f>SUMIFS(B4:B21, G4:G21, "STB", D4:D21, "Pago")</f>
        <v>323169.37</v>
      </c>
    </row>
    <row r="32" spans="1:12" ht="18.600000000000001" thickBot="1">
      <c r="A32" s="52" t="s">
        <v>38</v>
      </c>
      <c r="B32" s="53">
        <f>SUM(B29:B30)</f>
        <v>0</v>
      </c>
      <c r="C32" s="21"/>
    </row>
    <row r="33" spans="3:8">
      <c r="C33" s="21"/>
      <c r="H33" s="179"/>
    </row>
    <row r="34" spans="3:8">
      <c r="C34" s="21"/>
    </row>
    <row r="35" spans="3:8">
      <c r="C35" s="21"/>
    </row>
    <row r="36" spans="3:8">
      <c r="C36" s="21"/>
      <c r="H36" s="3">
        <f>340000/1.16</f>
        <v>293103.44827586209</v>
      </c>
    </row>
    <row r="37" spans="3:8">
      <c r="C37" s="21"/>
      <c r="H37" s="3">
        <f>H36-340000</f>
        <v>-46896.551724137913</v>
      </c>
    </row>
    <row r="38" spans="3:8">
      <c r="C38" s="21"/>
      <c r="H38" s="3">
        <f>52000/1.16</f>
        <v>44827.586206896558</v>
      </c>
    </row>
    <row r="39" spans="3:8">
      <c r="C39" s="21"/>
      <c r="H39" s="3">
        <f>52000-H38</f>
        <v>7172.413793103442</v>
      </c>
    </row>
    <row r="40" spans="3:8">
      <c r="C40" s="21"/>
    </row>
    <row r="41" spans="3:8">
      <c r="C41" s="21"/>
    </row>
    <row r="42" spans="3:8">
      <c r="C42" s="21"/>
    </row>
    <row r="43" spans="3:8">
      <c r="C43" s="21"/>
    </row>
    <row r="44" spans="3:8">
      <c r="C44" s="21"/>
    </row>
    <row r="45" spans="3:8">
      <c r="C45" s="21"/>
    </row>
  </sheetData>
  <mergeCells count="3">
    <mergeCell ref="A2:H2"/>
    <mergeCell ref="J3:K3"/>
    <mergeCell ref="C23:H25"/>
  </mergeCells>
  <phoneticPr fontId="33" type="noConversion"/>
  <hyperlinks>
    <hyperlink ref="F18" r:id="rId1" display="https://erp.entretech.co.mz/app/purchase-invoice/FT-FORN%2F26%2F124" xr:uid="{438EDCB7-F920-4799-A1D7-AC0284079C3C}"/>
    <hyperlink ref="F6" r:id="rId2" display="https://erp.entretech.co.mz/app/purchase-invoice/FT-FORN%2F26%2F153" xr:uid="{FC1A3455-4517-400C-83A9-59B5BE9F6A42}"/>
    <hyperlink ref="F5" r:id="rId3" display="https://erp.entretech.co.mz/app/purchase-invoice/FT-FORN%2F26%2F152" xr:uid="{3281B1D1-FE75-4A96-8ECB-0AC32487F7D3}"/>
  </hyperlinks>
  <pageMargins left="0.7" right="0.7" top="0.75" bottom="0.75" header="0.3" footer="0.3"/>
  <pageSetup orientation="portrait" r:id="rId4"/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1" operator="containsText" id="{D253DBC5-1CC9-4D4E-A7F4-BB7534ABA138}">
            <xm:f>NOT(ISERROR(SEARCH(Config!$B$8,D4)))</xm:f>
            <xm:f>Config!$B$8</xm:f>
            <x14:dxf>
              <fill>
                <patternFill>
                  <bgColor theme="9" tint="0.79998168889431442"/>
                </patternFill>
              </fill>
            </x14:dxf>
          </x14:cfRule>
          <x14:cfRule type="containsText" priority="32" operator="containsText" id="{87DF814E-3FA5-406D-A29A-790DAC986DA2}">
            <xm:f>NOT(ISERROR(SEARCH(Config!$B$4,D4)))</xm:f>
            <xm:f>Config!$B$4</xm:f>
            <x14:dxf>
              <fill>
                <patternFill>
                  <bgColor theme="9"/>
                </patternFill>
              </fill>
            </x14:dxf>
          </x14:cfRule>
          <x14:cfRule type="containsText" priority="33" operator="containsText" id="{217E5A31-59B3-4D83-B362-E447AC026DF4}">
            <xm:f>NOT(ISERROR(SEARCH(Config!$B$7,D4)))</xm:f>
            <xm:f>Config!$B$7</xm:f>
            <x14:dxf>
              <fill>
                <patternFill>
                  <bgColor theme="7" tint="0.39994506668294322"/>
                </patternFill>
              </fill>
            </x14:dxf>
          </x14:cfRule>
          <xm:sqref>D4:D21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Prioridade Invalida" error="Escolha prioridades da lista" promptTitle="Introduza a Prioridade" xr:uid="{394FEB1A-0B3D-47E8-B6D9-9343CBBD5586}">
          <x14:formula1>
            <xm:f>Config!$C$3:$C$7</xm:f>
          </x14:formula1>
          <xm:sqref>C4:C21</xm:sqref>
        </x14:dataValidation>
        <x14:dataValidation type="list" allowBlank="1" showInputMessage="1" showErrorMessage="1" xr:uid="{107F19BC-6262-4788-85EB-1621D0B59BEB}">
          <x14:formula1>
            <xm:f>Config!$D$3:$D$5</xm:f>
          </x14:formula1>
          <xm:sqref>G4:G21</xm:sqref>
        </x14:dataValidation>
        <x14:dataValidation type="list" allowBlank="1" showInputMessage="1" showErrorMessage="1" errorTitle="Selecione apenas da lsitaLista" promptTitle="Selecione da Lista" xr:uid="{A20357E7-94F4-41EA-A1D5-A3FDE4089CC1}">
          <x14:formula1>
            <xm:f>Config!$B$3:$B$10</xm:f>
          </x14:formula1>
          <xm:sqref>D4:D21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4F1F-1D5B-4D3D-B724-8D900175F880}">
  <dimension ref="A1:L46"/>
  <sheetViews>
    <sheetView zoomScale="95" zoomScaleNormal="95" workbookViewId="0">
      <selection activeCell="A9" sqref="A9"/>
    </sheetView>
  </sheetViews>
  <sheetFormatPr defaultRowHeight="18"/>
  <cols>
    <col min="1" max="1" width="50.21875" style="3" customWidth="1"/>
    <col min="2" max="2" width="21.5546875" style="3" customWidth="1"/>
    <col min="3" max="3" width="17" style="3" bestFit="1" customWidth="1"/>
    <col min="4" max="4" width="16.6640625" style="3" bestFit="1" customWidth="1"/>
    <col min="5" max="5" width="17.44140625" style="3" hidden="1" customWidth="1"/>
    <col min="6" max="6" width="17.44140625" style="233" customWidth="1"/>
    <col min="7" max="7" width="18.88671875" style="3" customWidth="1"/>
    <col min="8" max="8" width="70.21875" style="3" customWidth="1"/>
    <col min="9" max="9" width="5.44140625" style="3" customWidth="1"/>
    <col min="10" max="10" width="17" style="21" customWidth="1"/>
    <col min="11" max="11" width="30.77734375" style="3" customWidth="1"/>
    <col min="12" max="12" width="41" style="3" customWidth="1"/>
    <col min="13" max="16384" width="8.88671875" style="3"/>
  </cols>
  <sheetData>
    <row r="1" spans="1:12" ht="18.600000000000001" thickBot="1">
      <c r="A1" s="3" t="s">
        <v>10</v>
      </c>
      <c r="B1" s="3" t="s">
        <v>114</v>
      </c>
    </row>
    <row r="2" spans="1:12" ht="18.600000000000001" thickBot="1">
      <c r="A2" s="292" t="s">
        <v>0</v>
      </c>
      <c r="B2" s="293"/>
      <c r="C2" s="293"/>
      <c r="D2" s="293"/>
      <c r="E2" s="293"/>
      <c r="F2" s="293"/>
      <c r="G2" s="293"/>
      <c r="H2" s="294"/>
      <c r="I2" s="28"/>
    </row>
    <row r="3" spans="1:12" ht="18.600000000000001" thickBot="1">
      <c r="A3" s="182" t="s">
        <v>2</v>
      </c>
      <c r="B3" s="183" t="s">
        <v>3</v>
      </c>
      <c r="C3" s="183" t="s">
        <v>25</v>
      </c>
      <c r="D3" s="183" t="s">
        <v>8</v>
      </c>
      <c r="E3" s="183" t="s">
        <v>50</v>
      </c>
      <c r="F3" s="239" t="s">
        <v>167</v>
      </c>
      <c r="G3" s="183" t="s">
        <v>34</v>
      </c>
      <c r="H3" s="184" t="s">
        <v>9</v>
      </c>
      <c r="I3" s="74"/>
      <c r="J3" s="295" t="s">
        <v>46</v>
      </c>
      <c r="K3" s="295"/>
      <c r="L3" s="75"/>
    </row>
    <row r="4" spans="1:12" s="6" customFormat="1">
      <c r="A4" s="185" t="s">
        <v>1</v>
      </c>
      <c r="B4" s="186">
        <v>12993.5</v>
      </c>
      <c r="C4" s="187"/>
      <c r="D4" s="188" t="s">
        <v>26</v>
      </c>
      <c r="E4" s="189">
        <f t="shared" ref="E4:E15" si="0">IF(D4="Pago",B4,)</f>
        <v>12993.5</v>
      </c>
      <c r="F4" s="234" t="s">
        <v>180</v>
      </c>
      <c r="G4" s="190" t="s">
        <v>33</v>
      </c>
      <c r="H4" s="191" t="s">
        <v>132</v>
      </c>
      <c r="J4" s="85" t="s">
        <v>84</v>
      </c>
      <c r="L4" s="34"/>
    </row>
    <row r="5" spans="1:12" s="9" customFormat="1">
      <c r="A5" s="180" t="s">
        <v>11</v>
      </c>
      <c r="B5" s="3">
        <f>612.5+650+414.5+8628.75</f>
        <v>10305.75</v>
      </c>
      <c r="C5" s="14"/>
      <c r="D5" s="19" t="s">
        <v>26</v>
      </c>
      <c r="E5" s="10">
        <f t="shared" si="0"/>
        <v>10305.75</v>
      </c>
      <c r="F5" s="8" t="s">
        <v>179</v>
      </c>
      <c r="G5" s="7" t="s">
        <v>33</v>
      </c>
      <c r="H5" s="192"/>
      <c r="J5" s="87"/>
      <c r="K5" s="6" t="s">
        <v>20</v>
      </c>
      <c r="L5" s="37"/>
    </row>
    <row r="6" spans="1:12" s="9" customFormat="1">
      <c r="A6" s="180" t="s">
        <v>13</v>
      </c>
      <c r="B6" s="43">
        <v>23809.66</v>
      </c>
      <c r="C6" s="14"/>
      <c r="D6" s="44" t="s">
        <v>26</v>
      </c>
      <c r="E6" s="10">
        <f t="shared" si="0"/>
        <v>23809.66</v>
      </c>
      <c r="F6" s="234" t="s">
        <v>178</v>
      </c>
      <c r="G6" s="42" t="s">
        <v>33</v>
      </c>
      <c r="H6" s="192"/>
      <c r="J6" s="88">
        <f>3.92+222.88+165.68</f>
        <v>392.48</v>
      </c>
      <c r="K6" s="6" t="s">
        <v>19</v>
      </c>
      <c r="L6" s="37"/>
    </row>
    <row r="7" spans="1:12" s="9" customFormat="1">
      <c r="A7" s="181" t="s">
        <v>7</v>
      </c>
      <c r="B7" s="5">
        <v>3000</v>
      </c>
      <c r="C7" s="22"/>
      <c r="D7" s="18" t="s">
        <v>26</v>
      </c>
      <c r="E7" s="10">
        <f t="shared" si="0"/>
        <v>3000</v>
      </c>
      <c r="F7" s="8" t="s">
        <v>187</v>
      </c>
      <c r="G7" s="4" t="s">
        <v>33</v>
      </c>
      <c r="H7" s="193" t="s">
        <v>15</v>
      </c>
      <c r="I7" s="6"/>
      <c r="J7" s="86">
        <f>1036.99+16649.99+1629.31</f>
        <v>19316.290000000005</v>
      </c>
      <c r="K7" s="6" t="s">
        <v>17</v>
      </c>
      <c r="L7" s="37"/>
    </row>
    <row r="8" spans="1:12" s="9" customFormat="1">
      <c r="A8" s="180" t="s">
        <v>4</v>
      </c>
      <c r="B8" s="8">
        <v>7500</v>
      </c>
      <c r="C8" s="22"/>
      <c r="D8" s="18" t="s">
        <v>26</v>
      </c>
      <c r="E8" s="10">
        <v>4180</v>
      </c>
      <c r="F8" s="8"/>
      <c r="G8" s="7" t="s">
        <v>36</v>
      </c>
      <c r="H8" s="221"/>
      <c r="I8" s="6"/>
      <c r="J8" s="86"/>
      <c r="K8" s="6"/>
      <c r="L8" s="37"/>
    </row>
    <row r="9" spans="1:12" s="9" customFormat="1">
      <c r="A9" s="180" t="s">
        <v>39</v>
      </c>
      <c r="B9" s="8">
        <v>2715</v>
      </c>
      <c r="C9" s="22"/>
      <c r="D9" s="19" t="s">
        <v>26</v>
      </c>
      <c r="E9" s="10">
        <f t="shared" si="0"/>
        <v>2715</v>
      </c>
      <c r="F9" s="8"/>
      <c r="G9" s="7" t="s">
        <v>36</v>
      </c>
      <c r="H9" s="192"/>
      <c r="J9" s="86">
        <v>16500</v>
      </c>
      <c r="K9" s="6" t="s">
        <v>18</v>
      </c>
      <c r="L9" s="37"/>
    </row>
    <row r="10" spans="1:12" s="9" customFormat="1">
      <c r="A10" s="180" t="s">
        <v>16</v>
      </c>
      <c r="B10" s="5">
        <v>5000</v>
      </c>
      <c r="C10" s="22"/>
      <c r="D10" s="19" t="s">
        <v>26</v>
      </c>
      <c r="E10" s="10">
        <f t="shared" si="0"/>
        <v>5000</v>
      </c>
      <c r="F10" s="8"/>
      <c r="G10" s="7" t="s">
        <v>36</v>
      </c>
      <c r="H10" s="192"/>
      <c r="J10" s="86">
        <f>J9+J7</f>
        <v>35816.290000000008</v>
      </c>
      <c r="L10" s="37"/>
    </row>
    <row r="11" spans="1:12" s="6" customFormat="1">
      <c r="A11" s="180" t="s">
        <v>14</v>
      </c>
      <c r="B11" s="8">
        <v>20000</v>
      </c>
      <c r="C11" s="22"/>
      <c r="D11" s="18" t="s">
        <v>26</v>
      </c>
      <c r="E11" s="10">
        <f t="shared" si="0"/>
        <v>20000</v>
      </c>
      <c r="F11" s="8"/>
      <c r="G11" s="7" t="s">
        <v>33</v>
      </c>
      <c r="H11" s="192" t="s">
        <v>131</v>
      </c>
      <c r="I11" s="9"/>
      <c r="J11" s="86"/>
      <c r="L11" s="34"/>
    </row>
    <row r="12" spans="1:12" s="6" customFormat="1">
      <c r="A12" s="181" t="s">
        <v>5</v>
      </c>
      <c r="B12" s="5">
        <v>98709.64</v>
      </c>
      <c r="C12" s="22"/>
      <c r="D12" s="19" t="s">
        <v>26</v>
      </c>
      <c r="E12" s="10">
        <f t="shared" si="0"/>
        <v>98709.64</v>
      </c>
      <c r="F12" s="8"/>
      <c r="G12" s="7" t="s">
        <v>33</v>
      </c>
      <c r="H12" s="192"/>
      <c r="I12" s="9"/>
      <c r="J12" s="86" t="s">
        <v>52</v>
      </c>
      <c r="L12" s="34"/>
    </row>
    <row r="13" spans="1:12" s="6" customFormat="1">
      <c r="A13" s="181" t="s">
        <v>72</v>
      </c>
      <c r="B13" s="5">
        <v>5800</v>
      </c>
      <c r="C13" s="22"/>
      <c r="D13" s="19" t="s">
        <v>26</v>
      </c>
      <c r="E13" s="10">
        <f t="shared" si="0"/>
        <v>5800</v>
      </c>
      <c r="F13" s="8"/>
      <c r="G13" s="4" t="s">
        <v>33</v>
      </c>
      <c r="H13" s="193" t="s">
        <v>75</v>
      </c>
      <c r="J13" s="85" t="s">
        <v>115</v>
      </c>
      <c r="L13" s="34"/>
    </row>
    <row r="14" spans="1:12" s="6" customFormat="1">
      <c r="A14" s="181" t="s">
        <v>6</v>
      </c>
      <c r="B14" s="5">
        <v>3000</v>
      </c>
      <c r="C14" s="22"/>
      <c r="D14" s="19" t="s">
        <v>26</v>
      </c>
      <c r="E14" s="10">
        <f t="shared" si="0"/>
        <v>3000</v>
      </c>
      <c r="F14" s="8"/>
      <c r="G14" s="4" t="s">
        <v>33</v>
      </c>
      <c r="H14" s="193"/>
      <c r="J14" s="6">
        <f>35816.29-5000-5000-5000-5000-5000</f>
        <v>10816.29</v>
      </c>
      <c r="L14" s="34"/>
    </row>
    <row r="15" spans="1:12" s="9" customFormat="1">
      <c r="A15" s="180" t="s">
        <v>21</v>
      </c>
      <c r="B15" s="11">
        <v>20000</v>
      </c>
      <c r="C15" s="22"/>
      <c r="D15" s="19" t="s">
        <v>26</v>
      </c>
      <c r="E15" s="10">
        <f t="shared" si="0"/>
        <v>20000</v>
      </c>
      <c r="F15" s="8"/>
      <c r="G15" s="7" t="s">
        <v>36</v>
      </c>
      <c r="H15" s="192"/>
      <c r="J15" s="89" t="s">
        <v>47</v>
      </c>
      <c r="K15" s="66" t="s">
        <v>43</v>
      </c>
      <c r="L15" s="37"/>
    </row>
    <row r="16" spans="1:12">
      <c r="A16" s="181" t="s">
        <v>137</v>
      </c>
      <c r="B16" s="4">
        <v>4844</v>
      </c>
      <c r="C16" s="4"/>
      <c r="D16" s="220" t="s">
        <v>152</v>
      </c>
      <c r="E16" s="4"/>
      <c r="F16" s="7"/>
      <c r="G16" s="4"/>
      <c r="H16" s="193"/>
    </row>
    <row r="17" spans="1:12">
      <c r="A17" s="181" t="s">
        <v>138</v>
      </c>
      <c r="B17" s="4">
        <v>3384.15</v>
      </c>
      <c r="C17" s="4"/>
      <c r="D17" s="220" t="s">
        <v>26</v>
      </c>
      <c r="E17" s="4"/>
      <c r="F17" s="7"/>
      <c r="G17" s="4"/>
      <c r="H17" s="193" t="s">
        <v>139</v>
      </c>
    </row>
    <row r="18" spans="1:12" ht="18.600000000000001" thickBot="1">
      <c r="A18" s="194" t="s">
        <v>12</v>
      </c>
      <c r="B18" s="195">
        <v>212384.78</v>
      </c>
      <c r="C18" s="196"/>
      <c r="D18" s="197" t="s">
        <v>26</v>
      </c>
      <c r="E18" s="198">
        <f>IF(D18="Pago",B18,)</f>
        <v>212384.78</v>
      </c>
      <c r="F18" s="235"/>
      <c r="G18" s="199" t="s">
        <v>33</v>
      </c>
      <c r="H18" s="200"/>
    </row>
    <row r="19" spans="1:12" s="9" customFormat="1">
      <c r="A19" s="201" t="s">
        <v>136</v>
      </c>
      <c r="B19" s="202">
        <v>2000</v>
      </c>
      <c r="C19" s="203"/>
      <c r="D19" s="204" t="s">
        <v>26</v>
      </c>
      <c r="E19" s="205">
        <f>IF(D19="Pago",Julho!B18,)</f>
        <v>3384.15</v>
      </c>
      <c r="F19" s="236"/>
      <c r="G19" s="206" t="s">
        <v>33</v>
      </c>
      <c r="H19" s="207" t="s">
        <v>135</v>
      </c>
      <c r="I19" s="35"/>
      <c r="J19" s="87"/>
      <c r="L19" s="37"/>
    </row>
    <row r="20" spans="1:12" s="6" customFormat="1">
      <c r="A20" s="208" t="s">
        <v>133</v>
      </c>
      <c r="B20" s="208">
        <v>22455.200000000001</v>
      </c>
      <c r="C20" s="209"/>
      <c r="D20" s="219" t="s">
        <v>26</v>
      </c>
      <c r="E20" s="208"/>
      <c r="F20" s="216"/>
      <c r="G20" s="208" t="s">
        <v>36</v>
      </c>
      <c r="H20" s="210" t="s">
        <v>134</v>
      </c>
      <c r="J20" s="86"/>
    </row>
    <row r="21" spans="1:12" s="9" customFormat="1">
      <c r="A21" s="218" t="s">
        <v>129</v>
      </c>
      <c r="B21" s="212">
        <v>17864</v>
      </c>
      <c r="C21" s="213"/>
      <c r="D21" s="214" t="s">
        <v>26</v>
      </c>
      <c r="E21" s="215">
        <f>IF(D21="Pago",B21,)</f>
        <v>17864</v>
      </c>
      <c r="F21" s="237"/>
      <c r="G21" s="216" t="s">
        <v>33</v>
      </c>
      <c r="H21" s="217" t="s">
        <v>128</v>
      </c>
      <c r="I21" s="35"/>
      <c r="J21" s="87"/>
      <c r="L21" s="37"/>
    </row>
    <row r="22" spans="1:12" s="9" customFormat="1">
      <c r="A22" s="211" t="s">
        <v>150</v>
      </c>
      <c r="B22" s="212">
        <v>2000</v>
      </c>
      <c r="C22" s="213"/>
      <c r="D22" s="214" t="s">
        <v>26</v>
      </c>
      <c r="E22" s="215">
        <f>IF(D22="Pago",B22,)</f>
        <v>2000</v>
      </c>
      <c r="F22" s="237"/>
      <c r="G22" s="216" t="s">
        <v>33</v>
      </c>
      <c r="H22" s="207" t="s">
        <v>135</v>
      </c>
      <c r="I22" s="35"/>
      <c r="J22" s="87"/>
      <c r="L22" s="37"/>
    </row>
    <row r="23" spans="1:12">
      <c r="A23" s="3" t="s">
        <v>200</v>
      </c>
      <c r="B23" s="3">
        <v>91753.4</v>
      </c>
      <c r="D23" s="214" t="s">
        <v>26</v>
      </c>
      <c r="G23" s="216" t="s">
        <v>33</v>
      </c>
      <c r="H23" s="3" t="s">
        <v>199</v>
      </c>
    </row>
    <row r="24" spans="1:12" s="12" customFormat="1" ht="21" thickBot="1">
      <c r="A24" s="49" t="s">
        <v>49</v>
      </c>
      <c r="B24" s="174">
        <f>B26-B25</f>
        <v>32619.200000000012</v>
      </c>
      <c r="C24" s="296"/>
      <c r="D24" s="297"/>
      <c r="E24" s="297"/>
      <c r="F24" s="297"/>
      <c r="G24" s="297"/>
      <c r="H24" s="298"/>
      <c r="I24" s="175"/>
      <c r="J24" s="89"/>
      <c r="K24" s="29"/>
      <c r="L24" s="68"/>
    </row>
    <row r="25" spans="1:12" ht="21" thickBot="1">
      <c r="A25" s="48" t="s">
        <v>30</v>
      </c>
      <c r="B25" s="50">
        <f>SUM(E4:E22)</f>
        <v>445146.48</v>
      </c>
      <c r="C25" s="299"/>
      <c r="D25" s="300"/>
      <c r="E25" s="300"/>
      <c r="F25" s="300"/>
      <c r="G25" s="300"/>
      <c r="H25" s="301"/>
      <c r="I25" s="175"/>
      <c r="J25" s="86"/>
      <c r="K25" s="6"/>
      <c r="L25" s="34"/>
    </row>
    <row r="26" spans="1:12" ht="18.600000000000001" thickBot="1">
      <c r="A26" s="49" t="s">
        <v>48</v>
      </c>
      <c r="B26" s="51">
        <f>SUM(B4:B22)</f>
        <v>477765.68</v>
      </c>
      <c r="C26" s="302"/>
      <c r="D26" s="303"/>
      <c r="E26" s="303"/>
      <c r="F26" s="303"/>
      <c r="G26" s="303"/>
      <c r="H26" s="304"/>
      <c r="I26" s="70"/>
      <c r="J26" s="71"/>
      <c r="K26" s="72"/>
      <c r="L26" s="73"/>
    </row>
    <row r="27" spans="1:12">
      <c r="B27" s="176"/>
      <c r="C27" s="177"/>
    </row>
    <row r="28" spans="1:12" ht="18.600000000000001" thickBot="1">
      <c r="E28" s="13"/>
      <c r="F28" s="238"/>
      <c r="G28" s="25"/>
    </row>
    <row r="29" spans="1:12" ht="18.600000000000001" thickBot="1">
      <c r="A29" s="55" t="s">
        <v>35</v>
      </c>
      <c r="B29" s="54" t="s">
        <v>27</v>
      </c>
      <c r="C29" s="56" t="s">
        <v>26</v>
      </c>
    </row>
    <row r="30" spans="1:12">
      <c r="A30" s="60" t="s">
        <v>22</v>
      </c>
      <c r="B30" s="62">
        <f>SUMIFS(B4:B22, G4:G22, "BIM", D4:D22, "&lt;&gt;Pago")</f>
        <v>0</v>
      </c>
      <c r="C30" s="57">
        <f>SUMIFS(B4:B22, G4:G22, "BIM", D4:D22, "Pago")</f>
        <v>0</v>
      </c>
    </row>
    <row r="31" spans="1:12">
      <c r="A31" s="61" t="s">
        <v>36</v>
      </c>
      <c r="B31" s="63">
        <f>SUMIFS(B4:B22, G4:G22, "BIM C", D4:D22, "&lt;&gt;Pago")</f>
        <v>0</v>
      </c>
      <c r="C31" s="58">
        <f>SUMIFS(B4:B22, G4:G22, "BIM C", D4:D22, "Pago")</f>
        <v>57670.2</v>
      </c>
    </row>
    <row r="32" spans="1:12" ht="18.600000000000001" thickBot="1">
      <c r="A32" s="61" t="s">
        <v>33</v>
      </c>
      <c r="B32" s="64">
        <f>SUMIFS(B4:B22, G4:G22, "STB", D4:D22, "&lt;&gt;Pago")</f>
        <v>0</v>
      </c>
      <c r="C32" s="59">
        <f>SUMIFS(B4:B22, G4:G22, "STB", D4:D22, "Pago")</f>
        <v>411867.32999999996</v>
      </c>
    </row>
    <row r="33" spans="1:3" ht="18.600000000000001" thickBot="1">
      <c r="A33" s="52" t="s">
        <v>38</v>
      </c>
      <c r="B33" s="53">
        <f>SUM(B30:B31)</f>
        <v>0</v>
      </c>
      <c r="C33" s="21"/>
    </row>
    <row r="34" spans="1:3">
      <c r="C34" s="21"/>
    </row>
    <row r="35" spans="1:3">
      <c r="C35" s="21"/>
    </row>
    <row r="36" spans="1:3">
      <c r="C36" s="21"/>
    </row>
    <row r="37" spans="1:3">
      <c r="C37" s="21"/>
    </row>
    <row r="38" spans="1:3">
      <c r="C38" s="21"/>
    </row>
    <row r="39" spans="1:3">
      <c r="C39" s="21"/>
    </row>
    <row r="40" spans="1:3">
      <c r="C40" s="21"/>
    </row>
    <row r="41" spans="1:3">
      <c r="C41" s="21"/>
    </row>
    <row r="42" spans="1:3">
      <c r="C42" s="21"/>
    </row>
    <row r="43" spans="1:3">
      <c r="C43" s="21"/>
    </row>
    <row r="44" spans="1:3">
      <c r="C44" s="21"/>
    </row>
    <row r="45" spans="1:3">
      <c r="C45" s="21"/>
    </row>
    <row r="46" spans="1:3">
      <c r="C46" s="21"/>
    </row>
  </sheetData>
  <mergeCells count="3">
    <mergeCell ref="A2:H2"/>
    <mergeCell ref="J3:K3"/>
    <mergeCell ref="C24:H26"/>
  </mergeCells>
  <phoneticPr fontId="33" type="noConversion"/>
  <hyperlinks>
    <hyperlink ref="H20" r:id="rId1" tooltip="https://erp.entretech.co.mz/app/purchase-order/pur-ord-2026-00017" display="https://erp.entretech.co.mz/app/purchase-order/PUR-ORD-2026-00017" xr:uid="{4A94C86F-73E2-45BF-BEE9-1EE2AEFA9069}"/>
    <hyperlink ref="F6" r:id="rId2" display="https://erp.entretech.co.mz/app/purchase-invoice/FT-FORN%2F26%2F154" xr:uid="{4719E5B2-A176-4A9F-889D-0F12E4746600}"/>
    <hyperlink ref="F4" r:id="rId3" display="https://erp.entretech.co.mz/app/purchase-invoice/FT-FORN%2F26%2F156" xr:uid="{C3ED5C90-7DC0-4616-9BCB-EED152EA7613}"/>
  </hyperlinks>
  <pageMargins left="0.7" right="0.7" top="0.75" bottom="0.75" header="0.3" footer="0.3"/>
  <legacyDrawing r:id="rId4"/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4" operator="containsText" id="{C555038D-96E4-47EA-91B9-2D6901D1FAAB}">
            <xm:f>NOT(ISERROR(SEARCH(Config!$B$8,D4)))</xm:f>
            <xm:f>Config!$B$8</xm:f>
            <x14:dxf>
              <fill>
                <patternFill>
                  <bgColor theme="9" tint="0.79998168889431442"/>
                </patternFill>
              </fill>
            </x14:dxf>
          </x14:cfRule>
          <x14:cfRule type="containsText" priority="35" operator="containsText" id="{B4F99EF9-D481-4697-A114-3185E00296BA}">
            <xm:f>NOT(ISERROR(SEARCH(Config!$B$4,D4)))</xm:f>
            <xm:f>Config!$B$4</xm:f>
            <x14:dxf>
              <fill>
                <patternFill>
                  <bgColor theme="9"/>
                </patternFill>
              </fill>
            </x14:dxf>
          </x14:cfRule>
          <x14:cfRule type="containsText" priority="36" operator="containsText" id="{18405DDF-314C-4ED8-AF97-E78746C242AC}">
            <xm:f>NOT(ISERROR(SEARCH(Config!$B$7,D4)))</xm:f>
            <xm:f>Config!$B$7</xm:f>
            <x14:dxf>
              <fill>
                <patternFill>
                  <bgColor theme="7" tint="0.39994506668294322"/>
                </patternFill>
              </fill>
            </x14:dxf>
          </x14:cfRule>
          <xm:sqref>D4:D15 D18:D23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AAADB7A-9ADB-4133-ACF1-0559D5C59904}">
          <x14:formula1>
            <xm:f>Config!$D$3:$D$5</xm:f>
          </x14:formula1>
          <xm:sqref>G4:G15 G18:G23</xm:sqref>
        </x14:dataValidation>
        <x14:dataValidation type="list" allowBlank="1" showInputMessage="1" showErrorMessage="1" errorTitle="Prioridade Invalida" error="Escolha prioridades da lista" promptTitle="Introduza a Prioridade" xr:uid="{920C531C-DA02-4DEE-B1AE-60D270CDFC28}">
          <x14:formula1>
            <xm:f>Config!$C$3:$C$7</xm:f>
          </x14:formula1>
          <xm:sqref>C4:C15 C18:C22</xm:sqref>
        </x14:dataValidation>
        <x14:dataValidation type="list" allowBlank="1" showInputMessage="1" showErrorMessage="1" errorTitle="Selecione apenas da lsitaLista" promptTitle="Selecione da Lista" xr:uid="{06F05B38-21F4-4394-BC7D-AE09BBC80010}">
          <x14:formula1>
            <xm:f>Config!$B$3:$B$10</xm:f>
          </x14:formula1>
          <xm:sqref>D4:D15 D18:D23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584E-564D-4A8B-8F6D-2EAD727FE9EE}">
  <dimension ref="A1:K51"/>
  <sheetViews>
    <sheetView workbookViewId="0">
      <selection activeCell="B10" sqref="B10"/>
    </sheetView>
  </sheetViews>
  <sheetFormatPr defaultRowHeight="18"/>
  <cols>
    <col min="1" max="1" width="47.77734375" style="3" customWidth="1"/>
    <col min="2" max="2" width="21.5546875" style="21" customWidth="1"/>
    <col min="3" max="3" width="17.44140625" style="3" customWidth="1"/>
    <col min="4" max="4" width="16.6640625" style="3" bestFit="1" customWidth="1"/>
    <col min="5" max="5" width="17.44140625" style="3" hidden="1" customWidth="1"/>
    <col min="6" max="6" width="11.109375" style="3" customWidth="1"/>
    <col min="7" max="7" width="75.5546875" style="250" bestFit="1" customWidth="1"/>
    <col min="8" max="8" width="5.44140625" style="3" customWidth="1"/>
    <col min="9" max="9" width="17" style="21" customWidth="1"/>
    <col min="10" max="10" width="30.77734375" style="3" customWidth="1"/>
    <col min="11" max="11" width="41" style="3" customWidth="1"/>
    <col min="12" max="16384" width="8.88671875" style="3"/>
  </cols>
  <sheetData>
    <row r="1" spans="1:11" ht="18.600000000000001" thickBot="1">
      <c r="A1" s="3" t="s">
        <v>10</v>
      </c>
      <c r="B1" s="21" t="s">
        <v>113</v>
      </c>
    </row>
    <row r="2" spans="1:11" ht="18.600000000000001" thickBot="1">
      <c r="A2" s="292" t="s">
        <v>0</v>
      </c>
      <c r="B2" s="293"/>
      <c r="C2" s="293"/>
      <c r="D2" s="293"/>
      <c r="E2" s="293"/>
      <c r="F2" s="293"/>
      <c r="G2" s="294"/>
      <c r="H2" s="28"/>
    </row>
    <row r="3" spans="1:11" ht="18.600000000000001" thickBot="1">
      <c r="A3" s="182" t="s">
        <v>2</v>
      </c>
      <c r="B3" s="262" t="s">
        <v>3</v>
      </c>
      <c r="C3" s="183" t="s">
        <v>192</v>
      </c>
      <c r="D3" s="183" t="s">
        <v>8</v>
      </c>
      <c r="E3" s="183" t="s">
        <v>50</v>
      </c>
      <c r="F3" s="183" t="s">
        <v>34</v>
      </c>
      <c r="G3" s="251" t="s">
        <v>9</v>
      </c>
      <c r="H3" s="74"/>
      <c r="I3" s="295" t="s">
        <v>46</v>
      </c>
      <c r="J3" s="295"/>
      <c r="K3" s="75"/>
    </row>
    <row r="4" spans="1:11" s="6" customFormat="1">
      <c r="A4" s="185" t="s">
        <v>1</v>
      </c>
      <c r="B4" s="263">
        <v>12993.05</v>
      </c>
      <c r="C4" s="187">
        <v>1</v>
      </c>
      <c r="D4" s="188" t="s">
        <v>26</v>
      </c>
      <c r="E4" s="189">
        <f t="shared" ref="E4:E16" si="0">IF(D4="Pago",B4,)</f>
        <v>12993.05</v>
      </c>
      <c r="F4" s="190" t="s">
        <v>36</v>
      </c>
      <c r="G4" s="252" t="s">
        <v>156</v>
      </c>
      <c r="I4" s="85" t="s">
        <v>84</v>
      </c>
      <c r="K4" s="34"/>
    </row>
    <row r="5" spans="1:11" s="9" customFormat="1">
      <c r="A5" s="180" t="s">
        <v>11</v>
      </c>
      <c r="B5" s="21">
        <f>612.5+650+414.5+8628.75</f>
        <v>10305.75</v>
      </c>
      <c r="C5" s="14">
        <v>1</v>
      </c>
      <c r="D5" s="19" t="s">
        <v>26</v>
      </c>
      <c r="E5" s="10">
        <f t="shared" si="0"/>
        <v>10305.75</v>
      </c>
      <c r="F5" s="7" t="s">
        <v>36</v>
      </c>
      <c r="G5" s="253"/>
      <c r="I5" s="87"/>
      <c r="J5" s="6" t="s">
        <v>20</v>
      </c>
      <c r="K5" s="37"/>
    </row>
    <row r="6" spans="1:11" s="9" customFormat="1">
      <c r="A6" s="180" t="s">
        <v>13</v>
      </c>
      <c r="B6" s="47" t="s">
        <v>194</v>
      </c>
      <c r="C6" s="14">
        <v>1</v>
      </c>
      <c r="D6" s="44" t="s">
        <v>26</v>
      </c>
      <c r="E6" s="10" t="str">
        <f t="shared" si="0"/>
        <v>29.671,62</v>
      </c>
      <c r="F6" s="42" t="s">
        <v>33</v>
      </c>
      <c r="G6" s="253"/>
      <c r="I6" s="88">
        <f>3.92+222.88+165.68</f>
        <v>392.48</v>
      </c>
      <c r="J6" s="6" t="s">
        <v>19</v>
      </c>
      <c r="K6" s="37"/>
    </row>
    <row r="7" spans="1:11" s="9" customFormat="1">
      <c r="A7" s="181" t="s">
        <v>7</v>
      </c>
      <c r="B7" s="5">
        <v>3000</v>
      </c>
      <c r="C7" s="14">
        <v>1</v>
      </c>
      <c r="D7" s="18" t="s">
        <v>26</v>
      </c>
      <c r="E7" s="10">
        <f t="shared" si="0"/>
        <v>3000</v>
      </c>
      <c r="F7" s="4" t="s">
        <v>36</v>
      </c>
      <c r="G7" s="254" t="s">
        <v>15</v>
      </c>
      <c r="H7" s="6"/>
      <c r="I7" s="86">
        <f>1036.99+16649.99+1629.31</f>
        <v>19316.290000000005</v>
      </c>
      <c r="J7" s="6" t="s">
        <v>17</v>
      </c>
      <c r="K7" s="37"/>
    </row>
    <row r="8" spans="1:11" s="9" customFormat="1">
      <c r="A8" s="180" t="s">
        <v>4</v>
      </c>
      <c r="B8" s="8">
        <v>2500</v>
      </c>
      <c r="C8" s="22">
        <v>1</v>
      </c>
      <c r="D8" s="18" t="s">
        <v>26</v>
      </c>
      <c r="E8" s="10">
        <f t="shared" si="0"/>
        <v>2500</v>
      </c>
      <c r="F8" s="7" t="s">
        <v>36</v>
      </c>
      <c r="G8" s="254"/>
      <c r="H8" s="6"/>
      <c r="I8" s="86"/>
      <c r="J8" s="6"/>
      <c r="K8" s="37"/>
    </row>
    <row r="9" spans="1:11" s="9" customFormat="1">
      <c r="A9" s="180" t="s">
        <v>4</v>
      </c>
      <c r="B9" s="11">
        <v>5000</v>
      </c>
      <c r="C9" s="22"/>
      <c r="D9" s="18" t="s">
        <v>26</v>
      </c>
      <c r="E9" s="10">
        <f t="shared" si="0"/>
        <v>5000</v>
      </c>
      <c r="F9" s="7" t="s">
        <v>36</v>
      </c>
      <c r="G9" s="255"/>
      <c r="H9" s="6"/>
      <c r="I9" s="86"/>
      <c r="J9" s="6"/>
      <c r="K9" s="37"/>
    </row>
    <row r="10" spans="1:11" s="9" customFormat="1">
      <c r="A10" s="180" t="s">
        <v>39</v>
      </c>
      <c r="B10" s="8">
        <v>1486</v>
      </c>
      <c r="C10" s="14">
        <v>1</v>
      </c>
      <c r="D10" s="19" t="s">
        <v>26</v>
      </c>
      <c r="E10" s="10">
        <f t="shared" si="0"/>
        <v>1486</v>
      </c>
      <c r="F10" s="7" t="s">
        <v>36</v>
      </c>
      <c r="G10" s="253"/>
      <c r="I10" s="86">
        <v>16500</v>
      </c>
      <c r="J10" s="6" t="s">
        <v>18</v>
      </c>
      <c r="K10" s="37"/>
    </row>
    <row r="11" spans="1:11" s="9" customFormat="1">
      <c r="A11" s="180" t="s">
        <v>16</v>
      </c>
      <c r="B11" s="5">
        <v>5000</v>
      </c>
      <c r="C11" s="14">
        <v>1</v>
      </c>
      <c r="D11" s="19" t="s">
        <v>26</v>
      </c>
      <c r="E11" s="10">
        <f t="shared" si="0"/>
        <v>5000</v>
      </c>
      <c r="F11" s="7" t="s">
        <v>36</v>
      </c>
      <c r="G11" s="253"/>
      <c r="I11" s="86">
        <f>I10+I7</f>
        <v>35816.290000000008</v>
      </c>
      <c r="K11" s="37"/>
    </row>
    <row r="12" spans="1:11" s="6" customFormat="1">
      <c r="A12" s="180" t="s">
        <v>14</v>
      </c>
      <c r="B12" s="8">
        <v>20000</v>
      </c>
      <c r="C12" s="22">
        <v>2</v>
      </c>
      <c r="D12" s="18" t="s">
        <v>26</v>
      </c>
      <c r="E12" s="10">
        <f t="shared" si="0"/>
        <v>20000</v>
      </c>
      <c r="F12" s="7" t="s">
        <v>33</v>
      </c>
      <c r="G12" s="253" t="s">
        <v>131</v>
      </c>
      <c r="H12" s="9"/>
      <c r="I12" s="86"/>
      <c r="K12" s="34"/>
    </row>
    <row r="13" spans="1:11" s="6" customFormat="1">
      <c r="A13" s="181" t="s">
        <v>5</v>
      </c>
      <c r="B13" s="5">
        <f>(1065+454)*70</f>
        <v>106330</v>
      </c>
      <c r="C13" s="22">
        <v>2</v>
      </c>
      <c r="D13" s="19" t="s">
        <v>26</v>
      </c>
      <c r="E13" s="10">
        <f t="shared" si="0"/>
        <v>106330</v>
      </c>
      <c r="F13" s="7" t="s">
        <v>33</v>
      </c>
      <c r="G13" s="253"/>
      <c r="H13" s="9"/>
      <c r="I13" s="86" t="s">
        <v>52</v>
      </c>
      <c r="K13" s="34"/>
    </row>
    <row r="14" spans="1:11" s="6" customFormat="1">
      <c r="A14" s="181" t="s">
        <v>72</v>
      </c>
      <c r="B14" s="5">
        <v>5800</v>
      </c>
      <c r="C14" s="22">
        <v>2</v>
      </c>
      <c r="D14" s="19" t="s">
        <v>26</v>
      </c>
      <c r="E14" s="10">
        <f t="shared" si="0"/>
        <v>5800</v>
      </c>
      <c r="F14" s="4" t="s">
        <v>33</v>
      </c>
      <c r="G14" s="254" t="s">
        <v>75</v>
      </c>
      <c r="I14" s="85" t="s">
        <v>144</v>
      </c>
      <c r="K14" s="34"/>
    </row>
    <row r="15" spans="1:11" s="6" customFormat="1">
      <c r="A15" s="181" t="s">
        <v>6</v>
      </c>
      <c r="B15" s="5">
        <v>3000</v>
      </c>
      <c r="C15" s="22"/>
      <c r="D15" s="19" t="s">
        <v>26</v>
      </c>
      <c r="E15" s="10">
        <f t="shared" si="0"/>
        <v>3000</v>
      </c>
      <c r="F15" s="4" t="s">
        <v>33</v>
      </c>
      <c r="G15" s="254"/>
      <c r="I15" s="6">
        <f>35816.29-5000-5000-5000-5000-5000-5000</f>
        <v>5816.2900000000009</v>
      </c>
      <c r="K15" s="34"/>
    </row>
    <row r="16" spans="1:11" s="9" customFormat="1">
      <c r="A16" s="180" t="s">
        <v>21</v>
      </c>
      <c r="B16" s="11">
        <v>20000</v>
      </c>
      <c r="C16" s="22">
        <v>4</v>
      </c>
      <c r="D16" s="19" t="s">
        <v>26</v>
      </c>
      <c r="E16" s="10">
        <f t="shared" si="0"/>
        <v>20000</v>
      </c>
      <c r="F16" s="7" t="s">
        <v>22</v>
      </c>
      <c r="G16" s="253"/>
      <c r="I16" s="89" t="s">
        <v>47</v>
      </c>
      <c r="J16" s="66" t="s">
        <v>43</v>
      </c>
      <c r="K16" s="37"/>
    </row>
    <row r="17" spans="1:11">
      <c r="A17" s="181" t="s">
        <v>137</v>
      </c>
      <c r="B17" s="5">
        <v>4844</v>
      </c>
      <c r="C17" s="14">
        <v>1</v>
      </c>
      <c r="D17" s="19" t="s">
        <v>26</v>
      </c>
      <c r="E17" s="4"/>
      <c r="F17" s="7" t="s">
        <v>36</v>
      </c>
      <c r="G17" s="254"/>
    </row>
    <row r="18" spans="1:11">
      <c r="A18" s="181" t="s">
        <v>138</v>
      </c>
      <c r="B18" s="5">
        <v>3384.15</v>
      </c>
      <c r="C18" s="22">
        <v>1</v>
      </c>
      <c r="D18" s="19" t="s">
        <v>26</v>
      </c>
      <c r="E18" s="4"/>
      <c r="F18" s="7" t="s">
        <v>36</v>
      </c>
      <c r="G18" s="254" t="s">
        <v>157</v>
      </c>
    </row>
    <row r="19" spans="1:11" ht="18.600000000000001" thickBot="1">
      <c r="A19" s="194" t="s">
        <v>12</v>
      </c>
      <c r="B19" s="195">
        <v>212384.78</v>
      </c>
      <c r="C19" s="196"/>
      <c r="D19" s="197" t="s">
        <v>26</v>
      </c>
      <c r="E19" s="198">
        <f>IF(D19="Pago",B19,)</f>
        <v>212384.78</v>
      </c>
      <c r="F19" s="199" t="s">
        <v>33</v>
      </c>
      <c r="G19" s="256"/>
    </row>
    <row r="20" spans="1:11" s="9" customFormat="1">
      <c r="A20" s="201" t="s">
        <v>196</v>
      </c>
      <c r="B20" s="202">
        <v>7000</v>
      </c>
      <c r="C20" s="203"/>
      <c r="D20" s="204" t="s">
        <v>26</v>
      </c>
      <c r="E20" s="205">
        <f>IF(D20="Pago",Julho!B18,)</f>
        <v>3384.15</v>
      </c>
      <c r="F20" s="206" t="s">
        <v>33</v>
      </c>
      <c r="G20" s="257" t="s">
        <v>149</v>
      </c>
      <c r="H20" s="35"/>
      <c r="I20" s="87"/>
      <c r="K20" s="37"/>
    </row>
    <row r="21" spans="1:11" s="269" customFormat="1">
      <c r="A21" s="218" t="s">
        <v>191</v>
      </c>
      <c r="B21" s="212">
        <v>800</v>
      </c>
      <c r="C21" s="203"/>
      <c r="D21" s="204" t="s">
        <v>26</v>
      </c>
      <c r="E21" s="215">
        <f>IF(D21="Pago",B21,)</f>
        <v>800</v>
      </c>
      <c r="F21" s="216" t="s">
        <v>22</v>
      </c>
      <c r="G21" s="259"/>
      <c r="I21" s="270"/>
    </row>
    <row r="22" spans="1:11" s="211" customFormat="1">
      <c r="A22" s="208" t="s">
        <v>148</v>
      </c>
      <c r="B22" s="249">
        <v>20703</v>
      </c>
      <c r="C22" s="203">
        <v>2</v>
      </c>
      <c r="D22" s="219" t="s">
        <v>26</v>
      </c>
      <c r="E22" s="208"/>
      <c r="F22" s="208" t="s">
        <v>36</v>
      </c>
      <c r="G22" s="258" t="s">
        <v>153</v>
      </c>
      <c r="I22" s="271"/>
    </row>
    <row r="23" spans="1:11" s="269" customFormat="1">
      <c r="A23" s="218" t="s">
        <v>151</v>
      </c>
      <c r="B23" s="212">
        <v>1500</v>
      </c>
      <c r="C23" s="213">
        <v>2</v>
      </c>
      <c r="D23" s="214" t="s">
        <v>26</v>
      </c>
      <c r="E23" s="215"/>
      <c r="F23" s="216" t="s">
        <v>36</v>
      </c>
      <c r="G23" s="259" t="s">
        <v>205</v>
      </c>
      <c r="H23" s="272"/>
      <c r="I23" s="270"/>
      <c r="K23" s="273"/>
    </row>
    <row r="24" spans="1:11" s="269" customFormat="1" ht="36">
      <c r="A24" s="274" t="s">
        <v>125</v>
      </c>
      <c r="B24" s="212">
        <v>20700</v>
      </c>
      <c r="C24" s="213">
        <v>1</v>
      </c>
      <c r="D24" s="275" t="s">
        <v>26</v>
      </c>
      <c r="E24" s="215">
        <f>IF(D24="Pago",B24,)</f>
        <v>20700</v>
      </c>
      <c r="F24" s="216" t="s">
        <v>33</v>
      </c>
      <c r="G24" s="276" t="s">
        <v>193</v>
      </c>
      <c r="H24" s="277"/>
      <c r="I24" s="271"/>
      <c r="J24" s="211"/>
      <c r="K24" s="273"/>
    </row>
    <row r="25" spans="1:11" s="269" customFormat="1">
      <c r="A25" s="218" t="s">
        <v>195</v>
      </c>
      <c r="B25" s="212">
        <v>750</v>
      </c>
      <c r="C25" s="213"/>
      <c r="D25" s="214" t="s">
        <v>26</v>
      </c>
      <c r="E25" s="215">
        <f>IF(D25="Pago",B25,)</f>
        <v>750</v>
      </c>
      <c r="F25" s="216"/>
      <c r="G25" s="278"/>
      <c r="I25" s="279"/>
      <c r="J25" s="280"/>
    </row>
    <row r="26" spans="1:11" s="230" customFormat="1">
      <c r="A26" s="222" t="s">
        <v>158</v>
      </c>
      <c r="B26" s="223">
        <v>7284</v>
      </c>
      <c r="C26" s="224"/>
      <c r="D26" s="225" t="s">
        <v>26</v>
      </c>
      <c r="E26" s="226">
        <f>IF(D26="Pago",B26,)</f>
        <v>7284</v>
      </c>
      <c r="F26" s="227" t="s">
        <v>36</v>
      </c>
      <c r="G26" s="260"/>
      <c r="H26" s="228"/>
      <c r="I26" s="229"/>
      <c r="K26" s="231"/>
    </row>
    <row r="27" spans="1:11" s="230" customFormat="1" ht="19.2" customHeight="1">
      <c r="A27" s="246" t="s">
        <v>190</v>
      </c>
      <c r="B27" s="223">
        <v>23000</v>
      </c>
      <c r="C27" s="247"/>
      <c r="D27" s="225" t="s">
        <v>26</v>
      </c>
      <c r="E27" s="226">
        <f>IF(D27="Pago",B27,)</f>
        <v>23000</v>
      </c>
      <c r="F27" s="227" t="s">
        <v>33</v>
      </c>
      <c r="G27" s="248" t="s">
        <v>189</v>
      </c>
      <c r="H27" s="228"/>
      <c r="I27" s="229"/>
      <c r="K27" s="231"/>
    </row>
    <row r="28" spans="1:11" s="9" customFormat="1" ht="36">
      <c r="A28" s="218" t="s">
        <v>154</v>
      </c>
      <c r="B28" s="212">
        <v>20046.419999999998</v>
      </c>
      <c r="C28" s="213"/>
      <c r="D28" s="214" t="s">
        <v>26</v>
      </c>
      <c r="E28" s="215"/>
      <c r="F28" s="216" t="s">
        <v>33</v>
      </c>
      <c r="G28" s="259" t="s">
        <v>155</v>
      </c>
      <c r="H28" s="35"/>
      <c r="I28" s="87"/>
      <c r="K28" s="37"/>
    </row>
    <row r="29" spans="1:11" s="12" customFormat="1" ht="21" thickBot="1">
      <c r="A29" s="49" t="s">
        <v>49</v>
      </c>
      <c r="B29" s="174">
        <f>B31-B30</f>
        <v>54093.419999999984</v>
      </c>
      <c r="C29" s="296"/>
      <c r="D29" s="297"/>
      <c r="E29" s="297"/>
      <c r="F29" s="297"/>
      <c r="G29" s="298"/>
      <c r="H29" s="175"/>
      <c r="I29" s="89"/>
      <c r="J29" s="29"/>
      <c r="K29" s="68"/>
    </row>
    <row r="30" spans="1:11" ht="21" thickBot="1">
      <c r="A30" s="48" t="s">
        <v>30</v>
      </c>
      <c r="B30" s="264">
        <f>SUM(E4:E28)</f>
        <v>463717.73</v>
      </c>
      <c r="C30" s="299"/>
      <c r="D30" s="300"/>
      <c r="E30" s="300"/>
      <c r="F30" s="300"/>
      <c r="G30" s="301"/>
      <c r="H30" s="175"/>
      <c r="I30" s="86"/>
      <c r="J30" s="6"/>
      <c r="K30" s="34"/>
    </row>
    <row r="31" spans="1:11" ht="18.600000000000001" thickBot="1">
      <c r="A31" s="49" t="s">
        <v>48</v>
      </c>
      <c r="B31" s="174">
        <f>SUM(B4:B28)</f>
        <v>517811.14999999997</v>
      </c>
      <c r="C31" s="302"/>
      <c r="D31" s="303"/>
      <c r="E31" s="303"/>
      <c r="F31" s="303"/>
      <c r="G31" s="304"/>
      <c r="H31" s="70"/>
      <c r="I31" s="71"/>
      <c r="J31" s="72"/>
      <c r="K31" s="73"/>
    </row>
    <row r="32" spans="1:11">
      <c r="B32" s="265"/>
      <c r="C32" s="177"/>
    </row>
    <row r="33" spans="1:6" ht="18.600000000000001" thickBot="1">
      <c r="E33" s="13"/>
      <c r="F33" s="25"/>
    </row>
    <row r="34" spans="1:6" ht="18.600000000000001" thickBot="1">
      <c r="A34" s="55" t="s">
        <v>35</v>
      </c>
      <c r="B34" s="266" t="s">
        <v>27</v>
      </c>
      <c r="C34" s="56" t="s">
        <v>26</v>
      </c>
    </row>
    <row r="35" spans="1:6">
      <c r="A35" s="60" t="s">
        <v>22</v>
      </c>
      <c r="B35" s="62">
        <f>SUMIFS(B4:B28, F4:F28, "BIM", D4:D28, "&lt;&gt;Pago")</f>
        <v>0</v>
      </c>
      <c r="C35" s="57">
        <f>SUMIFS(B4:B28, F4:F28, "BIM", D4:D28, "Pago")</f>
        <v>20800</v>
      </c>
    </row>
    <row r="36" spans="1:6">
      <c r="A36" s="61" t="s">
        <v>36</v>
      </c>
      <c r="B36" s="63">
        <f>SUMIFS(B4:B28, F4:F28, "BIM C", D4:D28, "&lt;&gt;Pago")</f>
        <v>0</v>
      </c>
      <c r="C36" s="58">
        <f>SUMIFS(B4:B28, F4:F28, "BIM C", D4:D28, "Pago")</f>
        <v>77999.950000000012</v>
      </c>
    </row>
    <row r="37" spans="1:6" ht="18.600000000000001" thickBot="1">
      <c r="A37" s="61" t="s">
        <v>33</v>
      </c>
      <c r="B37" s="64">
        <f>SUMIFS(B4:B28, F4:F28, "STB", D4:D28, "&lt;&gt;Pago")</f>
        <v>0</v>
      </c>
      <c r="C37" s="59">
        <f>SUMIFS(B4:B28, F4:F28, "STB", D4:D28, "Pago")</f>
        <v>418261.2</v>
      </c>
    </row>
    <row r="38" spans="1:6" ht="18.600000000000001" thickBot="1">
      <c r="A38" s="52" t="s">
        <v>38</v>
      </c>
      <c r="B38" s="267">
        <f>SUM(B35:B36)</f>
        <v>0</v>
      </c>
      <c r="C38" s="21"/>
    </row>
    <row r="39" spans="1:6">
      <c r="C39" s="21"/>
    </row>
    <row r="40" spans="1:6">
      <c r="C40" s="21"/>
    </row>
    <row r="41" spans="1:6">
      <c r="C41" s="21"/>
    </row>
    <row r="42" spans="1:6">
      <c r="C42" s="21"/>
    </row>
    <row r="43" spans="1:6">
      <c r="C43" s="21"/>
    </row>
    <row r="44" spans="1:6">
      <c r="C44" s="21"/>
    </row>
    <row r="45" spans="1:6">
      <c r="C45" s="21"/>
    </row>
    <row r="46" spans="1:6">
      <c r="C46" s="21"/>
    </row>
    <row r="47" spans="1:6">
      <c r="C47" s="21"/>
    </row>
    <row r="48" spans="1:6">
      <c r="C48" s="21"/>
    </row>
    <row r="49" spans="3:3">
      <c r="C49" s="21"/>
    </row>
    <row r="50" spans="3:3">
      <c r="C50" s="21"/>
    </row>
    <row r="51" spans="3:3">
      <c r="C51" s="21"/>
    </row>
  </sheetData>
  <mergeCells count="3">
    <mergeCell ref="A2:G2"/>
    <mergeCell ref="I3:J3"/>
    <mergeCell ref="C29:G31"/>
  </mergeCells>
  <pageMargins left="0.7" right="0.7" top="0.75" bottom="0.75" header="0.3" footer="0.3"/>
  <pageSetup orientation="portrait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2CB27D3-92BB-43F4-A2FE-C921285868C9}">
            <xm:f>NOT(ISERROR(SEARCH(Config!$B$5,D4)))</xm:f>
            <xm:f>Config!$B$5</xm:f>
            <x14:dxf>
              <fill>
                <patternFill>
                  <bgColor theme="9" tint="0.79998168889431442"/>
                </patternFill>
              </fill>
            </x14:dxf>
          </x14:cfRule>
          <x14:cfRule type="containsText" priority="41" operator="containsText" id="{342E8ACC-312C-4220-8CC7-7A23E1C19C58}">
            <xm:f>NOT(ISERROR(SEARCH(Config!$B$8,D4)))</xm:f>
            <xm:f>Config!$B$8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2" operator="containsText" id="{330D3955-C006-4BF3-B3E5-D6B39A7E6578}">
            <xm:f>NOT(ISERROR(SEARCH(Config!$B$4,D4)))</xm:f>
            <xm:f>Config!$B$4</xm:f>
            <x14:dxf>
              <fill>
                <patternFill>
                  <bgColor theme="9"/>
                </patternFill>
              </fill>
            </x14:dxf>
          </x14:cfRule>
          <x14:cfRule type="containsText" priority="43" operator="containsText" id="{E72F318B-22A0-465B-8F18-D7BC53EEF7DF}">
            <xm:f>NOT(ISERROR(SEARCH(Config!$B$7,D4)))</xm:f>
            <xm:f>Config!$B$7</xm:f>
            <x14:dxf>
              <fill>
                <patternFill>
                  <bgColor theme="7" tint="0.39994506668294322"/>
                </patternFill>
              </fill>
            </x14:dxf>
          </x14:cfRule>
          <xm:sqref>D4:D28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Prioridade Invalida" error="Escolha prioridades da lista" promptTitle="Introduza a Prioridade" xr:uid="{AC01D703-85AC-4450-866B-0387199F7322}">
          <x14:formula1>
            <xm:f>Config!$C$3:$C$7</xm:f>
          </x14:formula1>
          <xm:sqref>C28 C4:C25</xm:sqref>
        </x14:dataValidation>
        <x14:dataValidation type="list" allowBlank="1" showInputMessage="1" showErrorMessage="1" xr:uid="{6A852CD8-8A09-48A1-AF29-DAC7864CDA78}">
          <x14:formula1>
            <xm:f>Config!$D$3:$D$5</xm:f>
          </x14:formula1>
          <xm:sqref>F4:F28</xm:sqref>
        </x14:dataValidation>
        <x14:dataValidation type="list" allowBlank="1" showInputMessage="1" showErrorMessage="1" errorTitle="Selecione apenas da lsitaLista" promptTitle="Selecione da Lista" xr:uid="{428891FB-2747-474C-A2D3-1825E39F6471}">
          <x14:formula1>
            <xm:f>Config!$B$3:$B$10</xm:f>
          </x14:formula1>
          <xm:sqref>D4:D28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53DF-8DAD-4EC1-9052-F53E73991179}">
  <dimension ref="A1:K49"/>
  <sheetViews>
    <sheetView topLeftCell="A12" zoomScaleNormal="100" workbookViewId="0">
      <selection activeCell="B27" sqref="B27"/>
    </sheetView>
  </sheetViews>
  <sheetFormatPr defaultRowHeight="18"/>
  <cols>
    <col min="1" max="1" width="42.88671875" style="3" customWidth="1"/>
    <col min="2" max="2" width="21.5546875" style="3" customWidth="1"/>
    <col min="3" max="3" width="17.5546875" style="3" bestFit="1" customWidth="1"/>
    <col min="4" max="4" width="16.6640625" style="3" bestFit="1" customWidth="1"/>
    <col min="5" max="5" width="17.44140625" style="3" hidden="1" customWidth="1"/>
    <col min="6" max="6" width="18.88671875" style="3" customWidth="1"/>
    <col min="7" max="7" width="70.21875" style="3" customWidth="1"/>
    <col min="8" max="8" width="5.44140625" style="3" customWidth="1"/>
    <col min="9" max="9" width="17" style="21" customWidth="1"/>
    <col min="10" max="10" width="30.77734375" style="3" customWidth="1"/>
    <col min="11" max="11" width="41" style="3" customWidth="1"/>
    <col min="12" max="16384" width="8.88671875" style="3"/>
  </cols>
  <sheetData>
    <row r="1" spans="1:11" ht="18.600000000000001" thickBot="1">
      <c r="A1" s="3" t="s">
        <v>10</v>
      </c>
      <c r="B1" s="3" t="s">
        <v>141</v>
      </c>
    </row>
    <row r="2" spans="1:11" ht="18.600000000000001" thickBot="1">
      <c r="A2" s="292" t="s">
        <v>0</v>
      </c>
      <c r="B2" s="293"/>
      <c r="C2" s="293"/>
      <c r="D2" s="293"/>
      <c r="E2" s="293"/>
      <c r="F2" s="293"/>
      <c r="G2" s="294"/>
      <c r="H2" s="28"/>
    </row>
    <row r="3" spans="1:11" ht="18.600000000000001" thickBot="1">
      <c r="A3" s="182" t="s">
        <v>2</v>
      </c>
      <c r="B3" s="183" t="s">
        <v>3</v>
      </c>
      <c r="C3" s="183" t="s">
        <v>25</v>
      </c>
      <c r="D3" s="183" t="s">
        <v>8</v>
      </c>
      <c r="E3" s="183" t="s">
        <v>50</v>
      </c>
      <c r="F3" s="183" t="s">
        <v>34</v>
      </c>
      <c r="G3" s="184" t="s">
        <v>9</v>
      </c>
      <c r="H3" s="74"/>
      <c r="I3" s="295" t="s">
        <v>46</v>
      </c>
      <c r="J3" s="295"/>
      <c r="K3" s="75"/>
    </row>
    <row r="4" spans="1:11" s="6" customFormat="1">
      <c r="A4" s="185" t="s">
        <v>1</v>
      </c>
      <c r="B4" s="186">
        <v>12993.05</v>
      </c>
      <c r="C4" s="187"/>
      <c r="D4" s="188" t="s">
        <v>26</v>
      </c>
      <c r="E4" s="189">
        <f t="shared" ref="E4:E15" si="0">IF(D4="Pago",B4,)</f>
        <v>12993.05</v>
      </c>
      <c r="F4" s="190" t="s">
        <v>33</v>
      </c>
      <c r="G4" s="191" t="s">
        <v>210</v>
      </c>
      <c r="I4" s="85" t="s">
        <v>84</v>
      </c>
      <c r="K4" s="34"/>
    </row>
    <row r="5" spans="1:11" s="9" customFormat="1">
      <c r="A5" s="180" t="s">
        <v>11</v>
      </c>
      <c r="B5" s="21">
        <f>612.5+650+414.5+8603.75</f>
        <v>10280.75</v>
      </c>
      <c r="C5" s="14"/>
      <c r="D5" s="19" t="s">
        <v>26</v>
      </c>
      <c r="E5" s="10">
        <f t="shared" si="0"/>
        <v>10280.75</v>
      </c>
      <c r="F5" s="7" t="s">
        <v>36</v>
      </c>
      <c r="G5" s="192"/>
      <c r="I5" s="87"/>
      <c r="J5" s="6" t="s">
        <v>20</v>
      </c>
      <c r="K5" s="37"/>
    </row>
    <row r="6" spans="1:11" s="9" customFormat="1">
      <c r="A6" s="180" t="s">
        <v>13</v>
      </c>
      <c r="B6" s="43">
        <v>27307.34</v>
      </c>
      <c r="C6" s="14"/>
      <c r="D6" s="44" t="s">
        <v>26</v>
      </c>
      <c r="E6" s="10">
        <f t="shared" si="0"/>
        <v>27307.34</v>
      </c>
      <c r="F6" s="42" t="s">
        <v>33</v>
      </c>
      <c r="G6" s="192"/>
      <c r="I6" s="88">
        <f>3.92+222.88+165.68</f>
        <v>392.48</v>
      </c>
      <c r="J6" s="6" t="s">
        <v>19</v>
      </c>
      <c r="K6" s="37"/>
    </row>
    <row r="7" spans="1:11" s="9" customFormat="1">
      <c r="A7" s="181" t="s">
        <v>7</v>
      </c>
      <c r="B7" s="5">
        <v>3000</v>
      </c>
      <c r="C7" s="22"/>
      <c r="D7" s="18" t="s">
        <v>26</v>
      </c>
      <c r="E7" s="10">
        <f t="shared" si="0"/>
        <v>3000</v>
      </c>
      <c r="F7" s="4" t="s">
        <v>33</v>
      </c>
      <c r="G7" s="193" t="s">
        <v>15</v>
      </c>
      <c r="H7" s="6"/>
      <c r="I7" s="86">
        <f>1036.99+16649.99+1629.31</f>
        <v>19316.290000000005</v>
      </c>
      <c r="J7" s="6" t="s">
        <v>17</v>
      </c>
      <c r="K7" s="37"/>
    </row>
    <row r="8" spans="1:11" s="9" customFormat="1">
      <c r="A8" s="180" t="s">
        <v>4</v>
      </c>
      <c r="B8" s="8">
        <v>7500</v>
      </c>
      <c r="C8" s="22"/>
      <c r="D8" s="18" t="s">
        <v>26</v>
      </c>
      <c r="E8" s="10">
        <f t="shared" si="0"/>
        <v>7500</v>
      </c>
      <c r="F8" s="7" t="s">
        <v>36</v>
      </c>
      <c r="G8" s="193"/>
      <c r="H8" s="6"/>
      <c r="I8" s="86"/>
      <c r="J8" s="6"/>
      <c r="K8" s="37"/>
    </row>
    <row r="9" spans="1:11" s="9" customFormat="1">
      <c r="A9" s="180" t="s">
        <v>39</v>
      </c>
      <c r="B9" s="8">
        <v>3000</v>
      </c>
      <c r="C9" s="22"/>
      <c r="D9" s="19" t="s">
        <v>204</v>
      </c>
      <c r="E9" s="10">
        <f t="shared" si="0"/>
        <v>0</v>
      </c>
      <c r="F9" s="7" t="s">
        <v>36</v>
      </c>
      <c r="G9" s="192"/>
      <c r="I9" s="86">
        <v>16500</v>
      </c>
      <c r="J9" s="6" t="s">
        <v>18</v>
      </c>
      <c r="K9" s="37"/>
    </row>
    <row r="10" spans="1:11" s="9" customFormat="1">
      <c r="A10" s="180" t="s">
        <v>16</v>
      </c>
      <c r="B10" s="5">
        <v>0</v>
      </c>
      <c r="C10" s="22"/>
      <c r="D10" s="19"/>
      <c r="E10" s="10">
        <f t="shared" si="0"/>
        <v>0</v>
      </c>
      <c r="F10" s="7"/>
      <c r="G10" s="192"/>
      <c r="I10" s="86">
        <f>I9+I7</f>
        <v>35816.290000000008</v>
      </c>
      <c r="K10" s="37"/>
    </row>
    <row r="11" spans="1:11" s="6" customFormat="1">
      <c r="A11" s="180" t="s">
        <v>14</v>
      </c>
      <c r="B11" s="8">
        <f>25000-816.29</f>
        <v>24183.71</v>
      </c>
      <c r="C11" s="22"/>
      <c r="D11" s="18" t="s">
        <v>26</v>
      </c>
      <c r="E11" s="10">
        <f t="shared" si="0"/>
        <v>24183.71</v>
      </c>
      <c r="F11" s="7" t="s">
        <v>33</v>
      </c>
      <c r="G11" s="192" t="s">
        <v>216</v>
      </c>
      <c r="H11" s="9"/>
      <c r="I11" s="86"/>
      <c r="K11" s="34"/>
    </row>
    <row r="12" spans="1:11" s="6" customFormat="1">
      <c r="A12" s="181" t="s">
        <v>5</v>
      </c>
      <c r="B12" s="5">
        <v>75000</v>
      </c>
      <c r="C12" s="22"/>
      <c r="D12" s="18" t="s">
        <v>26</v>
      </c>
      <c r="E12" s="10">
        <f t="shared" si="0"/>
        <v>75000</v>
      </c>
      <c r="F12" s="7" t="s">
        <v>33</v>
      </c>
      <c r="G12" s="192" t="s">
        <v>215</v>
      </c>
      <c r="H12" s="9"/>
      <c r="I12" s="86" t="s">
        <v>52</v>
      </c>
      <c r="K12" s="34"/>
    </row>
    <row r="13" spans="1:11" s="6" customFormat="1">
      <c r="A13" s="181" t="s">
        <v>72</v>
      </c>
      <c r="B13" s="5">
        <v>5800</v>
      </c>
      <c r="C13" s="22"/>
      <c r="D13" s="19" t="s">
        <v>26</v>
      </c>
      <c r="E13" s="10">
        <f t="shared" si="0"/>
        <v>5800</v>
      </c>
      <c r="F13" s="4" t="s">
        <v>33</v>
      </c>
      <c r="G13" s="193" t="s">
        <v>75</v>
      </c>
      <c r="I13" s="85" t="s">
        <v>145</v>
      </c>
      <c r="K13" s="34"/>
    </row>
    <row r="14" spans="1:11" s="6" customFormat="1">
      <c r="A14" s="181" t="s">
        <v>6</v>
      </c>
      <c r="B14" s="5">
        <v>3000</v>
      </c>
      <c r="C14" s="22"/>
      <c r="D14" s="19" t="s">
        <v>26</v>
      </c>
      <c r="E14" s="10">
        <f t="shared" si="0"/>
        <v>3000</v>
      </c>
      <c r="F14" s="4" t="s">
        <v>33</v>
      </c>
      <c r="G14" s="193"/>
      <c r="I14" s="6">
        <f>35816.29-5000-5000-5000-5000-5000-5000-5000</f>
        <v>816.29000000000087</v>
      </c>
      <c r="K14" s="34"/>
    </row>
    <row r="15" spans="1:11" s="9" customFormat="1">
      <c r="A15" s="180" t="s">
        <v>21</v>
      </c>
      <c r="B15" s="11">
        <v>20000</v>
      </c>
      <c r="C15" s="22"/>
      <c r="D15" s="18" t="s">
        <v>26</v>
      </c>
      <c r="E15" s="10">
        <f t="shared" si="0"/>
        <v>20000</v>
      </c>
      <c r="F15" s="7" t="s">
        <v>36</v>
      </c>
      <c r="G15" s="192"/>
      <c r="I15" s="89" t="s">
        <v>47</v>
      </c>
      <c r="J15" s="66" t="s">
        <v>43</v>
      </c>
      <c r="K15" s="37"/>
    </row>
    <row r="16" spans="1:11">
      <c r="A16" s="181" t="s">
        <v>137</v>
      </c>
      <c r="B16" s="261">
        <v>4844</v>
      </c>
      <c r="C16" s="4"/>
      <c r="D16" s="19" t="s">
        <v>26</v>
      </c>
      <c r="E16" s="4"/>
      <c r="F16" s="7" t="s">
        <v>36</v>
      </c>
      <c r="G16" s="193"/>
    </row>
    <row r="17" spans="1:11">
      <c r="A17" s="181" t="s">
        <v>138</v>
      </c>
      <c r="B17" s="4">
        <v>3384.15</v>
      </c>
      <c r="C17" s="4"/>
      <c r="D17" s="18" t="s">
        <v>26</v>
      </c>
      <c r="E17" s="4"/>
      <c r="F17" s="7" t="s">
        <v>33</v>
      </c>
      <c r="G17" s="193" t="s">
        <v>211</v>
      </c>
    </row>
    <row r="18" spans="1:11" ht="18.600000000000001" thickBot="1">
      <c r="A18" s="194" t="s">
        <v>12</v>
      </c>
      <c r="B18" s="195">
        <v>212384.78</v>
      </c>
      <c r="C18" s="196"/>
      <c r="D18" s="197" t="s">
        <v>26</v>
      </c>
      <c r="E18" s="198">
        <f>IF(D18="Pago",B18,)</f>
        <v>212384.78</v>
      </c>
      <c r="F18" s="199" t="s">
        <v>33</v>
      </c>
      <c r="G18" s="200"/>
    </row>
    <row r="19" spans="1:11">
      <c r="A19" s="222" t="s">
        <v>217</v>
      </c>
      <c r="B19" s="223">
        <v>100000</v>
      </c>
      <c r="C19" s="283"/>
      <c r="D19" s="288" t="s">
        <v>26</v>
      </c>
      <c r="E19" s="226">
        <f>IF(D19="Pago",B19,)</f>
        <v>100000</v>
      </c>
      <c r="F19" s="227" t="s">
        <v>33</v>
      </c>
      <c r="G19" s="287" t="s">
        <v>218</v>
      </c>
    </row>
    <row r="20" spans="1:11" s="9" customFormat="1">
      <c r="A20" s="282" t="s">
        <v>202</v>
      </c>
      <c r="B20" s="223">
        <v>8120</v>
      </c>
      <c r="C20" s="283"/>
      <c r="D20" s="284" t="s">
        <v>27</v>
      </c>
      <c r="E20" s="226"/>
      <c r="F20" s="227" t="s">
        <v>33</v>
      </c>
      <c r="G20" s="285" t="s">
        <v>201</v>
      </c>
      <c r="H20" s="32"/>
      <c r="I20" s="86"/>
      <c r="J20" s="6"/>
      <c r="K20" s="37"/>
    </row>
    <row r="21" spans="1:11" s="230" customFormat="1" ht="19.2" customHeight="1">
      <c r="A21" s="246" t="s">
        <v>197</v>
      </c>
      <c r="B21" s="223">
        <v>7000</v>
      </c>
      <c r="C21" s="247"/>
      <c r="D21" s="225" t="s">
        <v>26</v>
      </c>
      <c r="E21" s="226">
        <f t="shared" ref="E21:E25" si="1">IF(D21="Pago",B21,)</f>
        <v>7000</v>
      </c>
      <c r="F21" s="227" t="s">
        <v>33</v>
      </c>
      <c r="G21" s="286" t="s">
        <v>198</v>
      </c>
      <c r="H21" s="228"/>
      <c r="I21" s="229"/>
      <c r="K21" s="231"/>
    </row>
    <row r="22" spans="1:11" s="9" customFormat="1">
      <c r="A22" s="222" t="s">
        <v>67</v>
      </c>
      <c r="B22" s="223">
        <v>3000</v>
      </c>
      <c r="C22" s="283"/>
      <c r="D22" s="225" t="s">
        <v>26</v>
      </c>
      <c r="E22" s="226">
        <f t="shared" si="1"/>
        <v>3000</v>
      </c>
      <c r="F22" s="227" t="s">
        <v>22</v>
      </c>
      <c r="G22" s="287" t="s">
        <v>205</v>
      </c>
      <c r="H22" s="35"/>
      <c r="I22" s="87"/>
      <c r="K22" s="37"/>
    </row>
    <row r="23" spans="1:11" s="9" customFormat="1" ht="54">
      <c r="A23" s="222" t="s">
        <v>207</v>
      </c>
      <c r="B23" s="223">
        <v>34500</v>
      </c>
      <c r="C23" s="283"/>
      <c r="D23" s="225" t="s">
        <v>26</v>
      </c>
      <c r="E23" s="226">
        <f t="shared" si="1"/>
        <v>34500</v>
      </c>
      <c r="F23" s="227" t="s">
        <v>33</v>
      </c>
      <c r="G23" s="248" t="s">
        <v>208</v>
      </c>
      <c r="H23" s="35"/>
      <c r="I23" s="87"/>
      <c r="K23" s="37"/>
    </row>
    <row r="24" spans="1:11" s="9" customFormat="1" ht="36">
      <c r="A24" s="222" t="s">
        <v>212</v>
      </c>
      <c r="B24" s="223">
        <v>6000</v>
      </c>
      <c r="C24" s="283"/>
      <c r="D24" s="225" t="s">
        <v>26</v>
      </c>
      <c r="E24" s="226">
        <f t="shared" si="1"/>
        <v>6000</v>
      </c>
      <c r="F24" s="227" t="s">
        <v>36</v>
      </c>
      <c r="G24" s="248" t="s">
        <v>213</v>
      </c>
      <c r="H24" s="35"/>
      <c r="I24" s="87"/>
      <c r="K24" s="37"/>
    </row>
    <row r="25" spans="1:11" s="9" customFormat="1" ht="23.4" customHeight="1">
      <c r="A25" s="222" t="s">
        <v>96</v>
      </c>
      <c r="B25" s="223">
        <v>20000</v>
      </c>
      <c r="C25" s="283"/>
      <c r="D25" s="225" t="s">
        <v>27</v>
      </c>
      <c r="E25" s="226">
        <f t="shared" si="1"/>
        <v>0</v>
      </c>
      <c r="F25" s="227" t="s">
        <v>33</v>
      </c>
      <c r="G25" s="248"/>
      <c r="H25" s="35"/>
      <c r="I25" s="87"/>
      <c r="K25" s="37"/>
    </row>
    <row r="26" spans="1:11" s="9" customFormat="1">
      <c r="A26" s="218" t="s">
        <v>206</v>
      </c>
      <c r="B26" s="212">
        <f>14000+300</f>
        <v>14300</v>
      </c>
      <c r="C26" s="213"/>
      <c r="D26" s="214" t="s">
        <v>26</v>
      </c>
      <c r="E26" s="215"/>
      <c r="F26" s="216" t="s">
        <v>36</v>
      </c>
      <c r="G26" s="217"/>
      <c r="H26" s="35"/>
      <c r="I26" s="87"/>
      <c r="K26" s="37"/>
    </row>
    <row r="27" spans="1:11" s="12" customFormat="1" ht="21" thickBot="1">
      <c r="A27" s="49" t="s">
        <v>49</v>
      </c>
      <c r="B27" s="174">
        <f>B29-B28</f>
        <v>53648.150000000023</v>
      </c>
      <c r="C27" s="296"/>
      <c r="D27" s="297"/>
      <c r="E27" s="297"/>
      <c r="F27" s="297"/>
      <c r="G27" s="298"/>
      <c r="H27" s="175"/>
      <c r="I27" s="89"/>
      <c r="J27" s="29"/>
      <c r="K27" s="68"/>
    </row>
    <row r="28" spans="1:11" ht="21" thickBot="1">
      <c r="A28" s="48" t="s">
        <v>30</v>
      </c>
      <c r="B28" s="50">
        <f>SUM(E4:E26)</f>
        <v>551949.63</v>
      </c>
      <c r="C28" s="299"/>
      <c r="D28" s="300"/>
      <c r="E28" s="300"/>
      <c r="F28" s="300"/>
      <c r="G28" s="301"/>
      <c r="H28" s="175"/>
      <c r="I28" s="86"/>
      <c r="J28" s="6"/>
      <c r="K28" s="34"/>
    </row>
    <row r="29" spans="1:11" ht="18.600000000000001" thickBot="1">
      <c r="A29" s="49" t="s">
        <v>48</v>
      </c>
      <c r="B29" s="51">
        <f>SUM(B4:B26)</f>
        <v>605597.78</v>
      </c>
      <c r="C29" s="302"/>
      <c r="D29" s="303"/>
      <c r="E29" s="303"/>
      <c r="F29" s="303"/>
      <c r="G29" s="304"/>
      <c r="H29" s="70"/>
      <c r="I29" s="71"/>
      <c r="J29" s="72"/>
      <c r="K29" s="73"/>
    </row>
    <row r="30" spans="1:11">
      <c r="B30" s="176"/>
      <c r="C30" s="177"/>
    </row>
    <row r="31" spans="1:11" ht="18.600000000000001" thickBot="1">
      <c r="E31" s="13"/>
      <c r="F31" s="25"/>
    </row>
    <row r="32" spans="1:11" ht="18.600000000000001" thickBot="1">
      <c r="A32" s="55" t="s">
        <v>35</v>
      </c>
      <c r="B32" s="54" t="s">
        <v>27</v>
      </c>
      <c r="C32" s="56" t="s">
        <v>26</v>
      </c>
    </row>
    <row r="33" spans="1:3">
      <c r="A33" s="60" t="s">
        <v>22</v>
      </c>
      <c r="B33" s="62">
        <f>SUMIFS(B4:B26, F4:F26, "BIM", D4:D26, "&lt;&gt;Pago")</f>
        <v>0</v>
      </c>
      <c r="C33" s="57">
        <f>SUMIFS(B4:B26, F4:F26, "BIM", D4:D26, "Pago")</f>
        <v>3000</v>
      </c>
    </row>
    <row r="34" spans="1:3">
      <c r="A34" s="61" t="s">
        <v>36</v>
      </c>
      <c r="B34" s="63">
        <f>SUMIFS(B4:B26, F4:F26, "BIM C", D4:D26, "&lt;&gt;Pago")</f>
        <v>3000</v>
      </c>
      <c r="C34" s="58">
        <f>SUMIFS(B4:B26, F4:F26, "BIM C", D4:D26, "Pago")</f>
        <v>62924.75</v>
      </c>
    </row>
    <row r="35" spans="1:3" ht="18.600000000000001" thickBot="1">
      <c r="A35" s="61" t="s">
        <v>33</v>
      </c>
      <c r="B35" s="64">
        <f>SUMIFS(B4:B26, F4:F26, "STB", D4:D26, "&lt;&gt;Pago")</f>
        <v>28120</v>
      </c>
      <c r="C35" s="59">
        <f>SUMIFS(B4:B26, F4:F26, "STB", D4:D26, "Pago")</f>
        <v>508553.03</v>
      </c>
    </row>
    <row r="36" spans="1:3" ht="18.600000000000001" thickBot="1">
      <c r="A36" s="52" t="s">
        <v>38</v>
      </c>
      <c r="B36" s="53">
        <f>SUM(B33:B34)</f>
        <v>3000</v>
      </c>
      <c r="C36" s="21"/>
    </row>
    <row r="37" spans="1:3">
      <c r="C37" s="21"/>
    </row>
    <row r="38" spans="1:3">
      <c r="C38" s="21"/>
    </row>
    <row r="39" spans="1:3">
      <c r="C39" s="21"/>
    </row>
    <row r="40" spans="1:3">
      <c r="C40" s="21"/>
    </row>
    <row r="41" spans="1:3">
      <c r="C41" s="21"/>
    </row>
    <row r="42" spans="1:3">
      <c r="C42" s="21"/>
    </row>
    <row r="43" spans="1:3">
      <c r="C43" s="21"/>
    </row>
    <row r="44" spans="1:3">
      <c r="C44" s="21"/>
    </row>
    <row r="45" spans="1:3">
      <c r="C45" s="21"/>
    </row>
    <row r="46" spans="1:3">
      <c r="C46" s="21"/>
    </row>
    <row r="47" spans="1:3">
      <c r="C47" s="21"/>
    </row>
    <row r="48" spans="1:3">
      <c r="C48" s="21"/>
    </row>
    <row r="49" spans="3:3">
      <c r="C49" s="21"/>
    </row>
  </sheetData>
  <mergeCells count="3">
    <mergeCell ref="A2:G2"/>
    <mergeCell ref="I3:J3"/>
    <mergeCell ref="C27:G29"/>
  </mergeCell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6" operator="containsText" id="{230B3E4D-496A-4DAD-9A95-1A70B7F58C50}">
            <xm:f>NOT(ISERROR(SEARCH(Config!$B$8,D4)))</xm:f>
            <xm:f>Config!$B$8</xm:f>
            <x14:dxf>
              <fill>
                <patternFill>
                  <bgColor theme="9" tint="0.79998168889431442"/>
                </patternFill>
              </fill>
            </x14:dxf>
          </x14:cfRule>
          <x14:cfRule type="containsText" priority="47" operator="containsText" id="{92EB2628-293D-4114-B75C-3D51BF43D50D}">
            <xm:f>NOT(ISERROR(SEARCH(Config!$B$4,D4)))</xm:f>
            <xm:f>Config!$B$4</xm:f>
            <x14:dxf>
              <fill>
                <patternFill>
                  <bgColor theme="9"/>
                </patternFill>
              </fill>
            </x14:dxf>
          </x14:cfRule>
          <x14:cfRule type="containsText" priority="48" operator="containsText" id="{2BDD3B13-164B-4383-8F52-208B920E5155}">
            <xm:f>NOT(ISERROR(SEARCH(Config!$B$7,D4)))</xm:f>
            <xm:f>Config!$B$7</xm:f>
            <x14:dxf>
              <fill>
                <patternFill>
                  <bgColor theme="7" tint="0.39994506668294322"/>
                </patternFill>
              </fill>
            </x14:dxf>
          </x14:cfRule>
          <xm:sqref>D4:D26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8F4D5A-2B1F-41BA-8038-9008E718F632}">
          <x14:formula1>
            <xm:f>Config!$D$3:$D$5</xm:f>
          </x14:formula1>
          <xm:sqref>F4:F26</xm:sqref>
        </x14:dataValidation>
        <x14:dataValidation type="list" allowBlank="1" showInputMessage="1" showErrorMessage="1" errorTitle="Prioridade Invalida" error="Escolha prioridades da lista" promptTitle="Introduza a Prioridade" xr:uid="{658CF5BA-6E5C-454A-9DB3-8D333E0EAF37}">
          <x14:formula1>
            <xm:f>Config!$C$3:$C$7</xm:f>
          </x14:formula1>
          <xm:sqref>C4:C15 C18:C20 C22:C26</xm:sqref>
        </x14:dataValidation>
        <x14:dataValidation type="list" allowBlank="1" showInputMessage="1" showErrorMessage="1" errorTitle="Selecione apenas da lsitaLista" promptTitle="Selecione da Lista" xr:uid="{FC250B18-3655-4D85-B320-A39067252CB8}">
          <x14:formula1>
            <xm:f>Config!$B$3:$B$10</xm:f>
          </x14:formula1>
          <xm:sqref>D4:D26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10EA-3ECD-4F2E-A0BC-8C366821A6AD}">
  <dimension ref="A1:K46"/>
  <sheetViews>
    <sheetView tabSelected="1" workbookViewId="0">
      <selection activeCell="C15" sqref="C15"/>
    </sheetView>
  </sheetViews>
  <sheetFormatPr defaultRowHeight="18"/>
  <cols>
    <col min="1" max="1" width="55.33203125" style="3" customWidth="1"/>
    <col min="2" max="2" width="21.5546875" style="21" customWidth="1"/>
    <col min="3" max="3" width="17.5546875" style="3" bestFit="1" customWidth="1"/>
    <col min="4" max="4" width="13" style="3" bestFit="1" customWidth="1"/>
    <col min="5" max="5" width="0.109375" style="3" customWidth="1"/>
    <col min="6" max="6" width="18.88671875" style="3" customWidth="1"/>
    <col min="7" max="7" width="70.21875" style="3" customWidth="1"/>
    <col min="8" max="8" width="5.44140625" style="3" customWidth="1"/>
    <col min="9" max="9" width="17" style="21" customWidth="1"/>
    <col min="10" max="10" width="30.77734375" style="3" customWidth="1"/>
    <col min="11" max="11" width="41" style="3" customWidth="1"/>
    <col min="12" max="16384" width="8.88671875" style="3"/>
  </cols>
  <sheetData>
    <row r="1" spans="1:11" ht="18.600000000000001" thickBot="1">
      <c r="A1" s="3" t="s">
        <v>10</v>
      </c>
      <c r="B1" s="21" t="s">
        <v>143</v>
      </c>
    </row>
    <row r="2" spans="1:11" ht="18.600000000000001" thickBot="1">
      <c r="A2" s="292" t="s">
        <v>0</v>
      </c>
      <c r="B2" s="293"/>
      <c r="C2" s="293"/>
      <c r="D2" s="293"/>
      <c r="E2" s="293"/>
      <c r="F2" s="293"/>
      <c r="G2" s="294"/>
      <c r="H2" s="28"/>
    </row>
    <row r="3" spans="1:11" ht="18.600000000000001" thickBot="1">
      <c r="A3" s="182" t="s">
        <v>2</v>
      </c>
      <c r="B3" s="262" t="s">
        <v>3</v>
      </c>
      <c r="C3" s="183" t="s">
        <v>25</v>
      </c>
      <c r="D3" s="183" t="s">
        <v>8</v>
      </c>
      <c r="E3" s="183" t="s">
        <v>50</v>
      </c>
      <c r="F3" s="183" t="s">
        <v>34</v>
      </c>
      <c r="G3" s="184" t="s">
        <v>9</v>
      </c>
      <c r="H3" s="74"/>
      <c r="I3" s="295" t="s">
        <v>46</v>
      </c>
      <c r="J3" s="295"/>
      <c r="K3" s="75"/>
    </row>
    <row r="4" spans="1:11" s="6" customFormat="1">
      <c r="A4" s="185" t="s">
        <v>1</v>
      </c>
      <c r="B4" s="263">
        <v>12993.5</v>
      </c>
      <c r="C4" s="187"/>
      <c r="D4" s="188"/>
      <c r="E4" s="189">
        <f t="shared" ref="E4:E15" si="0">IF(D4="Pago",B4,)</f>
        <v>0</v>
      </c>
      <c r="F4" s="190" t="s">
        <v>33</v>
      </c>
      <c r="G4" s="191" t="s">
        <v>140</v>
      </c>
      <c r="I4" s="85"/>
      <c r="K4" s="34"/>
    </row>
    <row r="5" spans="1:11" s="9" customFormat="1">
      <c r="A5" s="180" t="s">
        <v>11</v>
      </c>
      <c r="B5" s="21">
        <f>612.5+650+414.5+8603.75</f>
        <v>10280.75</v>
      </c>
      <c r="C5" s="14"/>
      <c r="D5" s="19"/>
      <c r="E5" s="10">
        <f t="shared" si="0"/>
        <v>0</v>
      </c>
      <c r="F5" s="7" t="s">
        <v>33</v>
      </c>
      <c r="G5" s="192"/>
      <c r="I5" s="87"/>
      <c r="J5" s="6"/>
      <c r="K5" s="37"/>
    </row>
    <row r="6" spans="1:11" s="9" customFormat="1">
      <c r="A6" s="180" t="s">
        <v>13</v>
      </c>
      <c r="B6" s="43"/>
      <c r="C6" s="14"/>
      <c r="D6" s="44"/>
      <c r="E6" s="10">
        <f t="shared" si="0"/>
        <v>0</v>
      </c>
      <c r="F6" s="42" t="s">
        <v>33</v>
      </c>
      <c r="G6" s="192"/>
      <c r="I6" s="88"/>
      <c r="J6" s="6"/>
      <c r="K6" s="37"/>
    </row>
    <row r="7" spans="1:11" s="9" customFormat="1">
      <c r="A7" s="181" t="s">
        <v>7</v>
      </c>
      <c r="B7" s="5">
        <v>3000</v>
      </c>
      <c r="C7" s="22"/>
      <c r="D7" s="18"/>
      <c r="E7" s="10">
        <f t="shared" si="0"/>
        <v>0</v>
      </c>
      <c r="F7" s="4" t="s">
        <v>33</v>
      </c>
      <c r="G7" s="193" t="s">
        <v>15</v>
      </c>
      <c r="H7" s="6"/>
      <c r="I7" s="86"/>
      <c r="J7" s="6"/>
      <c r="K7" s="37"/>
    </row>
    <row r="8" spans="1:11" s="9" customFormat="1">
      <c r="A8" s="180" t="s">
        <v>4</v>
      </c>
      <c r="B8" s="8" t="s">
        <v>223</v>
      </c>
      <c r="C8" s="22"/>
      <c r="D8" s="18"/>
      <c r="E8" s="10">
        <f t="shared" si="0"/>
        <v>0</v>
      </c>
      <c r="F8" s="7" t="s">
        <v>36</v>
      </c>
      <c r="G8" s="193"/>
      <c r="H8" s="6"/>
      <c r="I8" s="86"/>
      <c r="J8" s="6"/>
      <c r="K8" s="37"/>
    </row>
    <row r="9" spans="1:11" s="9" customFormat="1">
      <c r="A9" s="180" t="s">
        <v>39</v>
      </c>
      <c r="B9" s="8">
        <v>3000</v>
      </c>
      <c r="C9" s="22"/>
      <c r="D9" s="19"/>
      <c r="E9" s="10">
        <f t="shared" si="0"/>
        <v>0</v>
      </c>
      <c r="F9" s="7" t="s">
        <v>36</v>
      </c>
      <c r="G9" s="192"/>
      <c r="I9" s="86"/>
      <c r="J9" s="6"/>
      <c r="K9" s="37"/>
    </row>
    <row r="10" spans="1:11" s="9" customFormat="1">
      <c r="A10" s="180" t="s">
        <v>16</v>
      </c>
      <c r="B10" s="5" t="s">
        <v>223</v>
      </c>
      <c r="C10" s="22"/>
      <c r="D10" s="19"/>
      <c r="E10" s="10">
        <f t="shared" si="0"/>
        <v>0</v>
      </c>
      <c r="F10" s="7" t="s">
        <v>36</v>
      </c>
      <c r="G10" s="192"/>
      <c r="I10" s="86"/>
      <c r="K10" s="37"/>
    </row>
    <row r="11" spans="1:11" s="6" customFormat="1">
      <c r="A11" s="180" t="s">
        <v>14</v>
      </c>
      <c r="B11" s="8">
        <v>25000</v>
      </c>
      <c r="C11" s="22"/>
      <c r="D11" s="18"/>
      <c r="E11" s="10">
        <f t="shared" si="0"/>
        <v>0</v>
      </c>
      <c r="F11" s="7" t="s">
        <v>33</v>
      </c>
      <c r="G11" s="192" t="s">
        <v>216</v>
      </c>
      <c r="H11" s="9"/>
      <c r="I11" s="86"/>
      <c r="K11" s="34"/>
    </row>
    <row r="12" spans="1:11" s="6" customFormat="1">
      <c r="A12" s="181" t="s">
        <v>5</v>
      </c>
      <c r="B12" s="5">
        <f>(1065+454)*70</f>
        <v>106330</v>
      </c>
      <c r="C12" s="22"/>
      <c r="D12" s="19"/>
      <c r="E12" s="10">
        <f t="shared" si="0"/>
        <v>0</v>
      </c>
      <c r="F12" s="7" t="s">
        <v>33</v>
      </c>
      <c r="G12" s="192"/>
      <c r="H12" s="9"/>
      <c r="I12" s="86"/>
      <c r="K12" s="34"/>
    </row>
    <row r="13" spans="1:11" s="6" customFormat="1">
      <c r="A13" s="181" t="s">
        <v>72</v>
      </c>
      <c r="B13" s="5">
        <f>5800+17000</f>
        <v>22800</v>
      </c>
      <c r="C13" s="22"/>
      <c r="D13" s="19" t="s">
        <v>26</v>
      </c>
      <c r="E13" s="10">
        <f t="shared" si="0"/>
        <v>22800</v>
      </c>
      <c r="F13" s="4" t="s">
        <v>33</v>
      </c>
      <c r="G13" s="193" t="s">
        <v>75</v>
      </c>
      <c r="I13" s="85"/>
      <c r="K13" s="34"/>
    </row>
    <row r="14" spans="1:11" s="6" customFormat="1">
      <c r="A14" s="181" t="s">
        <v>6</v>
      </c>
      <c r="B14" s="5">
        <v>3000</v>
      </c>
      <c r="C14" s="22"/>
      <c r="D14" s="19"/>
      <c r="E14" s="10">
        <f t="shared" si="0"/>
        <v>0</v>
      </c>
      <c r="F14" s="4" t="s">
        <v>33</v>
      </c>
      <c r="G14" s="193"/>
      <c r="K14" s="34"/>
    </row>
    <row r="15" spans="1:11" s="9" customFormat="1">
      <c r="A15" s="180" t="s">
        <v>21</v>
      </c>
      <c r="B15" s="11">
        <v>20000</v>
      </c>
      <c r="C15" s="22"/>
      <c r="D15" s="19"/>
      <c r="E15" s="10">
        <f t="shared" si="0"/>
        <v>0</v>
      </c>
      <c r="F15" s="7" t="s">
        <v>36</v>
      </c>
      <c r="G15" s="192"/>
      <c r="I15" s="89" t="s">
        <v>47</v>
      </c>
      <c r="J15" s="66" t="s">
        <v>43</v>
      </c>
      <c r="K15" s="37"/>
    </row>
    <row r="16" spans="1:11">
      <c r="A16" s="181" t="s">
        <v>137</v>
      </c>
      <c r="B16" s="5">
        <v>4844</v>
      </c>
      <c r="C16" s="4"/>
      <c r="D16" s="4"/>
      <c r="E16" s="4"/>
      <c r="F16" s="4"/>
      <c r="G16" s="193"/>
    </row>
    <row r="17" spans="1:11">
      <c r="A17" s="181" t="s">
        <v>138</v>
      </c>
      <c r="B17" s="5">
        <v>3384.15</v>
      </c>
      <c r="C17" s="4"/>
      <c r="D17" s="4"/>
      <c r="E17" s="4"/>
      <c r="F17" s="4"/>
      <c r="G17" s="193" t="s">
        <v>146</v>
      </c>
    </row>
    <row r="18" spans="1:11" ht="18.600000000000001" thickBot="1">
      <c r="A18" s="194" t="s">
        <v>12</v>
      </c>
      <c r="B18" s="195">
        <f>55357.3+23842.5+18793.75+15035+22555.1+10000.7+5000+42000+23637+18000</f>
        <v>234221.35</v>
      </c>
      <c r="C18" s="196"/>
      <c r="D18" s="197" t="s">
        <v>26</v>
      </c>
      <c r="E18" s="198">
        <f>IF(D18="Pago",B18,)</f>
        <v>234221.35</v>
      </c>
      <c r="F18" s="199" t="s">
        <v>33</v>
      </c>
      <c r="G18" s="200"/>
    </row>
    <row r="19" spans="1:11" s="9" customFormat="1">
      <c r="A19" s="218" t="s">
        <v>209</v>
      </c>
      <c r="B19" s="212">
        <v>17864</v>
      </c>
      <c r="C19" s="213"/>
      <c r="D19" s="214"/>
      <c r="E19" s="215">
        <f>IF(D19="Pago",B19,)</f>
        <v>0</v>
      </c>
      <c r="F19" s="216" t="s">
        <v>33</v>
      </c>
      <c r="G19" s="259" t="s">
        <v>128</v>
      </c>
      <c r="H19" s="35"/>
      <c r="I19" s="87"/>
      <c r="K19" s="37"/>
    </row>
    <row r="20" spans="1:11" s="6" customFormat="1">
      <c r="A20" s="6" t="s">
        <v>220</v>
      </c>
      <c r="B20" s="86">
        <v>3000</v>
      </c>
      <c r="C20" s="209"/>
      <c r="D20" s="219" t="s">
        <v>26</v>
      </c>
      <c r="E20" s="208"/>
      <c r="F20" s="208" t="s">
        <v>36</v>
      </c>
      <c r="G20" s="210"/>
      <c r="I20" s="86"/>
    </row>
    <row r="21" spans="1:11" s="9" customFormat="1">
      <c r="A21" s="218" t="s">
        <v>221</v>
      </c>
      <c r="B21" s="212">
        <v>5000</v>
      </c>
      <c r="C21" s="213"/>
      <c r="D21" s="214" t="s">
        <v>26</v>
      </c>
      <c r="E21" s="215">
        <f>IF(D21="Pago",B21,)</f>
        <v>5000</v>
      </c>
      <c r="F21" s="216" t="s">
        <v>33</v>
      </c>
      <c r="G21" s="217"/>
      <c r="H21" s="35"/>
      <c r="I21" s="87"/>
      <c r="K21" s="37"/>
    </row>
    <row r="22" spans="1:11" s="9" customFormat="1">
      <c r="A22" s="211" t="s">
        <v>222</v>
      </c>
      <c r="B22" s="212">
        <v>100000</v>
      </c>
      <c r="C22" s="213"/>
      <c r="D22" s="214"/>
      <c r="E22" s="215">
        <f>IF(D22="Pago",B22,)</f>
        <v>0</v>
      </c>
      <c r="F22" s="216"/>
      <c r="G22" s="217"/>
      <c r="H22" s="35"/>
      <c r="I22" s="87"/>
      <c r="K22" s="37"/>
    </row>
    <row r="23" spans="1:11" s="9" customFormat="1">
      <c r="A23" s="218"/>
      <c r="B23" s="212">
        <v>0</v>
      </c>
      <c r="C23" s="213"/>
      <c r="D23" s="214"/>
      <c r="E23" s="215"/>
      <c r="F23" s="216"/>
      <c r="G23" s="217"/>
      <c r="H23" s="35"/>
      <c r="I23" s="87"/>
      <c r="K23" s="37"/>
    </row>
    <row r="24" spans="1:11" s="12" customFormat="1" ht="21" thickBot="1">
      <c r="A24" s="49" t="s">
        <v>49</v>
      </c>
      <c r="B24" s="174">
        <f>B26-B25</f>
        <v>312696.40000000002</v>
      </c>
      <c r="C24" s="296"/>
      <c r="D24" s="297"/>
      <c r="E24" s="297"/>
      <c r="F24" s="297"/>
      <c r="G24" s="298"/>
      <c r="H24" s="175"/>
      <c r="I24" s="89"/>
      <c r="J24" s="29"/>
      <c r="K24" s="68"/>
    </row>
    <row r="25" spans="1:11" ht="21" thickBot="1">
      <c r="A25" s="48" t="s">
        <v>30</v>
      </c>
      <c r="B25" s="264">
        <f>SUM(E4:E23)</f>
        <v>262021.35</v>
      </c>
      <c r="C25" s="299"/>
      <c r="D25" s="300"/>
      <c r="E25" s="300"/>
      <c r="F25" s="300"/>
      <c r="G25" s="301"/>
      <c r="H25" s="175"/>
      <c r="I25" s="86"/>
      <c r="J25" s="6"/>
      <c r="K25" s="34"/>
    </row>
    <row r="26" spans="1:11" ht="18.600000000000001" thickBot="1">
      <c r="A26" s="49" t="s">
        <v>48</v>
      </c>
      <c r="B26" s="174">
        <f>SUM(B4:B23)</f>
        <v>574717.75</v>
      </c>
      <c r="C26" s="302"/>
      <c r="D26" s="303"/>
      <c r="E26" s="303"/>
      <c r="F26" s="303"/>
      <c r="G26" s="304"/>
      <c r="H26" s="70"/>
      <c r="I26" s="71"/>
      <c r="J26" s="72"/>
      <c r="K26" s="73"/>
    </row>
    <row r="27" spans="1:11">
      <c r="B27" s="265"/>
      <c r="C27" s="177"/>
    </row>
    <row r="28" spans="1:11" ht="18.600000000000001" thickBot="1">
      <c r="E28" s="13"/>
      <c r="F28" s="25"/>
    </row>
    <row r="29" spans="1:11" ht="18.600000000000001" thickBot="1">
      <c r="A29" s="55" t="s">
        <v>35</v>
      </c>
      <c r="B29" s="266" t="s">
        <v>27</v>
      </c>
      <c r="C29" s="56" t="s">
        <v>26</v>
      </c>
    </row>
    <row r="30" spans="1:11">
      <c r="A30" s="60" t="s">
        <v>22</v>
      </c>
      <c r="B30" s="62">
        <f>SUMIFS(B4:B23, F4:F23, "BIM", D4:D23, "&lt;&gt;Pago")</f>
        <v>0</v>
      </c>
      <c r="C30" s="57">
        <f>SUMIFS(B4:B23, F4:F23, "BIM", D4:D23, "Pago")</f>
        <v>0</v>
      </c>
    </row>
    <row r="31" spans="1:11">
      <c r="A31" s="61" t="s">
        <v>36</v>
      </c>
      <c r="B31" s="63">
        <f>SUMIFS(B4:B23, F4:F23, "BIM C", D4:D23, "&lt;&gt;Pago")</f>
        <v>23000</v>
      </c>
      <c r="C31" s="58">
        <f>SUMIFS(B4:B23, F4:F23, "BIM C", D4:D23, "Pago")</f>
        <v>3000</v>
      </c>
    </row>
    <row r="32" spans="1:11" ht="18.600000000000001" thickBot="1">
      <c r="A32" s="61" t="s">
        <v>33</v>
      </c>
      <c r="B32" s="64">
        <f>SUMIFS(B4:B23, F4:F23, "STB", D4:D23, "&lt;&gt;Pago")</f>
        <v>178468.25</v>
      </c>
      <c r="C32" s="59">
        <f>SUMIFS(B4:B23, F4:F23, "STB", D4:D23, "Pago")</f>
        <v>262021.35</v>
      </c>
    </row>
    <row r="33" spans="1:3" ht="18.600000000000001" thickBot="1">
      <c r="A33" s="52" t="s">
        <v>38</v>
      </c>
      <c r="B33" s="267">
        <f>SUM(B30:B31)</f>
        <v>23000</v>
      </c>
      <c r="C33" s="21"/>
    </row>
    <row r="34" spans="1:3">
      <c r="C34" s="21"/>
    </row>
    <row r="35" spans="1:3">
      <c r="C35" s="21"/>
    </row>
    <row r="36" spans="1:3">
      <c r="C36" s="21"/>
    </row>
    <row r="37" spans="1:3">
      <c r="C37" s="21"/>
    </row>
    <row r="38" spans="1:3">
      <c r="C38" s="21"/>
    </row>
    <row r="39" spans="1:3">
      <c r="C39" s="21"/>
    </row>
    <row r="40" spans="1:3">
      <c r="C40" s="21"/>
    </row>
    <row r="41" spans="1:3">
      <c r="C41" s="21"/>
    </row>
    <row r="42" spans="1:3">
      <c r="C42" s="21"/>
    </row>
    <row r="43" spans="1:3">
      <c r="C43" s="21"/>
    </row>
    <row r="44" spans="1:3">
      <c r="C44" s="21"/>
    </row>
    <row r="45" spans="1:3">
      <c r="C45" s="21"/>
    </row>
    <row r="46" spans="1:3">
      <c r="C46" s="21"/>
    </row>
  </sheetData>
  <mergeCells count="3">
    <mergeCell ref="A2:G2"/>
    <mergeCell ref="I3:J3"/>
    <mergeCell ref="C24:G26"/>
  </mergeCell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2" operator="containsText" id="{93730917-6A4C-4331-9846-47FC298C973E}">
            <xm:f>NOT(ISERROR(SEARCH(Config!$B$8,D4)))</xm:f>
            <xm:f>Config!$B$8</xm:f>
            <x14:dxf>
              <fill>
                <patternFill>
                  <bgColor theme="9" tint="0.79998168889431442"/>
                </patternFill>
              </fill>
            </x14:dxf>
          </x14:cfRule>
          <x14:cfRule type="containsText" priority="63" operator="containsText" id="{E0E7A20B-B070-404D-95D8-7D25E01495F9}">
            <xm:f>NOT(ISERROR(SEARCH(Config!$B$4,D4)))</xm:f>
            <xm:f>Config!$B$4</xm:f>
            <x14:dxf>
              <fill>
                <patternFill>
                  <bgColor theme="9"/>
                </patternFill>
              </fill>
            </x14:dxf>
          </x14:cfRule>
          <x14:cfRule type="containsText" priority="64" operator="containsText" id="{2BA450FC-C34B-4329-84F2-14CF5D4A7B8C}">
            <xm:f>NOT(ISERROR(SEARCH(Config!$B$7,D4)))</xm:f>
            <xm:f>Config!$B$7</xm:f>
            <x14:dxf>
              <fill>
                <patternFill>
                  <bgColor theme="7" tint="0.39994506668294322"/>
                </patternFill>
              </fill>
            </x14:dxf>
          </x14:cfRule>
          <xm:sqref>D4:D15 D18 D20:D23</xm:sqref>
        </x14:conditionalFormatting>
        <x14:conditionalFormatting xmlns:xm="http://schemas.microsoft.com/office/excel/2006/main">
          <x14:cfRule type="containsText" priority="1" operator="containsText" id="{ECAF8EA7-94A2-4470-9E4B-E77A14384396}">
            <xm:f>NOT(ISERROR(SEARCH(Config!$B$5,D19)))</xm:f>
            <xm:f>Config!$B$5</xm:f>
            <x14:dxf>
              <fill>
                <patternFill>
                  <bgColor theme="9" tint="0.79998168889431442"/>
                </patternFill>
              </fill>
            </x14:dxf>
          </x14:cfRule>
          <x14:cfRule type="containsText" priority="2" operator="containsText" id="{4ACEFA67-6EA4-4FA9-9B69-5BED99414386}">
            <xm:f>NOT(ISERROR(SEARCH(Config!$B$8,D19)))</xm:f>
            <xm:f>Config!$B$8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" operator="containsText" id="{D020CAC2-EF5B-4F03-A9CD-758603F363B0}">
            <xm:f>NOT(ISERROR(SEARCH(Config!$B$4,D19)))</xm:f>
            <xm:f>Config!$B$4</xm:f>
            <x14:dxf>
              <fill>
                <patternFill>
                  <bgColor theme="9"/>
                </patternFill>
              </fill>
            </x14:dxf>
          </x14:cfRule>
          <x14:cfRule type="containsText" priority="4" operator="containsText" id="{502E8345-C4BD-4767-9E50-62C504CB0966}">
            <xm:f>NOT(ISERROR(SEARCH(Config!$B$7,D19)))</xm:f>
            <xm:f>Config!$B$7</xm:f>
            <x14:dxf>
              <fill>
                <patternFill>
                  <bgColor theme="7" tint="0.39994506668294322"/>
                </patternFill>
              </fill>
            </x14:dxf>
          </x14:cfRule>
          <xm:sqref>D19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83BCCE3-F3E5-4135-9245-8DF746F0954B}">
          <x14:formula1>
            <xm:f>Config!$D$3:$D$5</xm:f>
          </x14:formula1>
          <xm:sqref>F4:F15 F18:F23</xm:sqref>
        </x14:dataValidation>
        <x14:dataValidation type="list" allowBlank="1" showInputMessage="1" showErrorMessage="1" errorTitle="Prioridade Invalida" error="Escolha prioridades da lista" promptTitle="Introduza a Prioridade" xr:uid="{ED176128-20DB-4EB8-ABE5-124D171962C5}">
          <x14:formula1>
            <xm:f>Config!$C$3:$C$7</xm:f>
          </x14:formula1>
          <xm:sqref>C4:C15 C18:C23</xm:sqref>
        </x14:dataValidation>
        <x14:dataValidation type="list" allowBlank="1" showInputMessage="1" showErrorMessage="1" errorTitle="Selecione apenas da lsitaLista" promptTitle="Selecione da Lista" xr:uid="{A4FE3D6C-0A27-41F1-B5EA-5E1B1834E17A}">
          <x14:formula1>
            <xm:f>Config!$B$3:$B$10</xm:f>
          </x14:formula1>
          <xm:sqref>D4:D15 D18:D23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39DF-6D4A-4C87-B012-80C9CD849653}">
  <dimension ref="A1:K46"/>
  <sheetViews>
    <sheetView topLeftCell="A8" workbookViewId="0">
      <selection activeCell="G20" sqref="G20"/>
    </sheetView>
  </sheetViews>
  <sheetFormatPr defaultRowHeight="18"/>
  <cols>
    <col min="1" max="1" width="42.88671875" style="3" customWidth="1"/>
    <col min="2" max="2" width="21.5546875" style="3" customWidth="1"/>
    <col min="3" max="3" width="17.5546875" style="3" bestFit="1" customWidth="1"/>
    <col min="4" max="4" width="16.6640625" style="3" bestFit="1" customWidth="1"/>
    <col min="5" max="5" width="17.44140625" style="3" hidden="1" customWidth="1"/>
    <col min="6" max="6" width="18.88671875" style="3" customWidth="1"/>
    <col min="7" max="7" width="70.21875" style="3" customWidth="1"/>
    <col min="8" max="8" width="5.44140625" style="3" customWidth="1"/>
    <col min="9" max="9" width="17" style="21" customWidth="1"/>
    <col min="10" max="10" width="30.77734375" style="3" customWidth="1"/>
    <col min="11" max="11" width="41" style="3" customWidth="1"/>
    <col min="12" max="16384" width="8.88671875" style="3"/>
  </cols>
  <sheetData>
    <row r="1" spans="1:11" ht="18.600000000000001" thickBot="1">
      <c r="A1" s="3" t="s">
        <v>10</v>
      </c>
      <c r="B1" s="3" t="s">
        <v>142</v>
      </c>
    </row>
    <row r="2" spans="1:11" ht="18.600000000000001" thickBot="1">
      <c r="A2" s="292" t="s">
        <v>0</v>
      </c>
      <c r="B2" s="293"/>
      <c r="C2" s="293"/>
      <c r="D2" s="293"/>
      <c r="E2" s="293"/>
      <c r="F2" s="293"/>
      <c r="G2" s="294"/>
      <c r="H2" s="28"/>
    </row>
    <row r="3" spans="1:11" ht="18.600000000000001" thickBot="1">
      <c r="A3" s="182" t="s">
        <v>2</v>
      </c>
      <c r="B3" s="183" t="s">
        <v>3</v>
      </c>
      <c r="C3" s="183" t="s">
        <v>25</v>
      </c>
      <c r="D3" s="183" t="s">
        <v>8</v>
      </c>
      <c r="E3" s="183" t="s">
        <v>50</v>
      </c>
      <c r="F3" s="183" t="s">
        <v>34</v>
      </c>
      <c r="G3" s="184" t="s">
        <v>9</v>
      </c>
      <c r="H3" s="74"/>
      <c r="I3" s="295" t="s">
        <v>46</v>
      </c>
      <c r="J3" s="295"/>
      <c r="K3" s="75"/>
    </row>
    <row r="4" spans="1:11" s="6" customFormat="1">
      <c r="A4" s="185" t="s">
        <v>1</v>
      </c>
      <c r="B4" s="186">
        <v>12993.5</v>
      </c>
      <c r="C4" s="187"/>
      <c r="D4" s="188"/>
      <c r="E4" s="189">
        <f t="shared" ref="E4:E15" si="0">IF(D4="Pago",B4,)</f>
        <v>0</v>
      </c>
      <c r="F4" s="190" t="s">
        <v>33</v>
      </c>
      <c r="G4" s="191" t="s">
        <v>140</v>
      </c>
      <c r="I4" s="85"/>
      <c r="K4" s="34"/>
    </row>
    <row r="5" spans="1:11" s="9" customFormat="1">
      <c r="A5" s="180" t="s">
        <v>11</v>
      </c>
      <c r="B5" s="21">
        <f>612.5+650+414.5+8603.75</f>
        <v>10280.75</v>
      </c>
      <c r="C5" s="14"/>
      <c r="D5" s="19"/>
      <c r="E5" s="10">
        <f t="shared" si="0"/>
        <v>0</v>
      </c>
      <c r="F5" s="7" t="s">
        <v>33</v>
      </c>
      <c r="G5" s="192"/>
      <c r="I5" s="87"/>
      <c r="J5" s="6"/>
      <c r="K5" s="37"/>
    </row>
    <row r="6" spans="1:11" s="9" customFormat="1">
      <c r="A6" s="180" t="s">
        <v>13</v>
      </c>
      <c r="B6" s="43"/>
      <c r="C6" s="14"/>
      <c r="D6" s="44"/>
      <c r="E6" s="10">
        <f t="shared" si="0"/>
        <v>0</v>
      </c>
      <c r="F6" s="42" t="s">
        <v>33</v>
      </c>
      <c r="G6" s="192"/>
      <c r="I6" s="88"/>
      <c r="J6" s="6"/>
      <c r="K6" s="37"/>
    </row>
    <row r="7" spans="1:11" s="9" customFormat="1">
      <c r="A7" s="181" t="s">
        <v>7</v>
      </c>
      <c r="B7" s="5">
        <v>3000</v>
      </c>
      <c r="C7" s="22"/>
      <c r="D7" s="18"/>
      <c r="E7" s="10">
        <f t="shared" si="0"/>
        <v>0</v>
      </c>
      <c r="F7" s="4" t="s">
        <v>33</v>
      </c>
      <c r="G7" s="193" t="s">
        <v>15</v>
      </c>
      <c r="H7" s="6"/>
      <c r="I7" s="86"/>
      <c r="J7" s="6"/>
      <c r="K7" s="37"/>
    </row>
    <row r="8" spans="1:11" s="9" customFormat="1">
      <c r="A8" s="180" t="s">
        <v>4</v>
      </c>
      <c r="B8" s="8">
        <v>7500</v>
      </c>
      <c r="C8" s="22"/>
      <c r="D8" s="18"/>
      <c r="E8" s="10">
        <f t="shared" si="0"/>
        <v>0</v>
      </c>
      <c r="F8" s="7" t="s">
        <v>36</v>
      </c>
      <c r="G8" s="193"/>
      <c r="H8" s="6"/>
      <c r="I8" s="86"/>
      <c r="J8" s="6"/>
      <c r="K8" s="37"/>
    </row>
    <row r="9" spans="1:11" s="9" customFormat="1">
      <c r="A9" s="180" t="s">
        <v>39</v>
      </c>
      <c r="B9" s="8">
        <v>3000</v>
      </c>
      <c r="C9" s="22"/>
      <c r="D9" s="19"/>
      <c r="E9" s="10">
        <f t="shared" si="0"/>
        <v>0</v>
      </c>
      <c r="F9" s="7" t="s">
        <v>36</v>
      </c>
      <c r="G9" s="192"/>
      <c r="I9" s="86"/>
      <c r="J9" s="6"/>
      <c r="K9" s="37"/>
    </row>
    <row r="10" spans="1:11" s="9" customFormat="1">
      <c r="A10" s="180" t="s">
        <v>16</v>
      </c>
      <c r="B10" s="5">
        <v>5000</v>
      </c>
      <c r="C10" s="22"/>
      <c r="D10" s="19"/>
      <c r="E10" s="10">
        <f t="shared" si="0"/>
        <v>0</v>
      </c>
      <c r="F10" s="7" t="s">
        <v>36</v>
      </c>
      <c r="G10" s="192"/>
      <c r="I10" s="86"/>
      <c r="K10" s="37"/>
    </row>
    <row r="11" spans="1:11" s="6" customFormat="1">
      <c r="A11" s="180" t="s">
        <v>14</v>
      </c>
      <c r="B11" s="8">
        <v>25000</v>
      </c>
      <c r="C11" s="22"/>
      <c r="D11" s="18"/>
      <c r="E11" s="10">
        <f t="shared" si="0"/>
        <v>0</v>
      </c>
      <c r="F11" s="7" t="s">
        <v>33</v>
      </c>
      <c r="G11" s="192" t="s">
        <v>216</v>
      </c>
      <c r="H11" s="9"/>
      <c r="I11" s="86"/>
      <c r="K11" s="34"/>
    </row>
    <row r="12" spans="1:11" s="6" customFormat="1">
      <c r="A12" s="181" t="s">
        <v>5</v>
      </c>
      <c r="B12" s="5">
        <v>98709.64</v>
      </c>
      <c r="C12" s="22"/>
      <c r="D12" s="19"/>
      <c r="E12" s="10">
        <f t="shared" si="0"/>
        <v>0</v>
      </c>
      <c r="F12" s="7" t="s">
        <v>33</v>
      </c>
      <c r="G12" s="192"/>
      <c r="H12" s="9"/>
      <c r="I12" s="86"/>
      <c r="K12" s="34"/>
    </row>
    <row r="13" spans="1:11" s="6" customFormat="1">
      <c r="A13" s="181" t="s">
        <v>72</v>
      </c>
      <c r="B13" s="5">
        <v>5800</v>
      </c>
      <c r="C13" s="22"/>
      <c r="D13" s="19"/>
      <c r="E13" s="10">
        <f t="shared" si="0"/>
        <v>0</v>
      </c>
      <c r="F13" s="4" t="s">
        <v>33</v>
      </c>
      <c r="G13" s="193" t="s">
        <v>75</v>
      </c>
      <c r="I13" s="85"/>
      <c r="K13" s="34"/>
    </row>
    <row r="14" spans="1:11" s="6" customFormat="1">
      <c r="A14" s="181" t="s">
        <v>6</v>
      </c>
      <c r="B14" s="5">
        <v>3000</v>
      </c>
      <c r="C14" s="22"/>
      <c r="D14" s="19"/>
      <c r="E14" s="10">
        <f t="shared" si="0"/>
        <v>0</v>
      </c>
      <c r="F14" s="4" t="s">
        <v>33</v>
      </c>
      <c r="G14" s="193"/>
      <c r="K14" s="34"/>
    </row>
    <row r="15" spans="1:11" s="9" customFormat="1">
      <c r="A15" s="180" t="s">
        <v>21</v>
      </c>
      <c r="B15" s="11">
        <v>20000</v>
      </c>
      <c r="C15" s="22"/>
      <c r="D15" s="19"/>
      <c r="E15" s="10">
        <f t="shared" si="0"/>
        <v>0</v>
      </c>
      <c r="F15" s="7" t="s">
        <v>36</v>
      </c>
      <c r="G15" s="192"/>
      <c r="I15" s="89" t="s">
        <v>47</v>
      </c>
      <c r="J15" s="66" t="s">
        <v>43</v>
      </c>
      <c r="K15" s="37"/>
    </row>
    <row r="16" spans="1:11">
      <c r="A16" s="181" t="s">
        <v>137</v>
      </c>
      <c r="B16" s="4">
        <v>4844</v>
      </c>
      <c r="C16" s="4"/>
      <c r="D16" s="4"/>
      <c r="E16" s="4"/>
      <c r="F16" s="4"/>
      <c r="G16" s="193"/>
    </row>
    <row r="17" spans="1:11">
      <c r="A17" s="181" t="s">
        <v>138</v>
      </c>
      <c r="B17" s="4">
        <v>3384.15</v>
      </c>
      <c r="C17" s="4"/>
      <c r="D17" s="4"/>
      <c r="E17" s="4"/>
      <c r="F17" s="4"/>
      <c r="G17" s="193" t="s">
        <v>147</v>
      </c>
    </row>
    <row r="18" spans="1:11" ht="18.600000000000001" thickBot="1">
      <c r="A18" s="194" t="s">
        <v>12</v>
      </c>
      <c r="B18" s="195">
        <f>55357.3+23842.5+18793.75+15035+22555.1+10000.7+5000+42000+23637+5000</f>
        <v>221221.35</v>
      </c>
      <c r="C18" s="196"/>
      <c r="D18" s="197"/>
      <c r="E18" s="198">
        <f>IF(D18="Pago",B18,)</f>
        <v>0</v>
      </c>
      <c r="F18" s="199" t="s">
        <v>33</v>
      </c>
      <c r="G18" s="200"/>
    </row>
    <row r="19" spans="1:11" s="9" customFormat="1">
      <c r="A19" s="208" t="s">
        <v>217</v>
      </c>
      <c r="B19" s="212">
        <v>100000</v>
      </c>
      <c r="C19" s="203"/>
      <c r="D19" s="204"/>
      <c r="E19" s="205">
        <f>IF(D19="Pago",Julho!B18,)</f>
        <v>0</v>
      </c>
      <c r="F19" s="206" t="s">
        <v>33</v>
      </c>
      <c r="G19" s="291" t="s">
        <v>219</v>
      </c>
      <c r="H19" s="35"/>
      <c r="I19" s="87"/>
      <c r="K19" s="37"/>
    </row>
    <row r="20" spans="1:11" s="6" customFormat="1">
      <c r="A20" s="222"/>
      <c r="B20" s="289"/>
      <c r="C20" s="209"/>
      <c r="D20" s="219"/>
      <c r="E20" s="208"/>
      <c r="F20" s="208"/>
      <c r="G20" s="290"/>
      <c r="I20" s="86"/>
    </row>
    <row r="21" spans="1:11" s="9" customFormat="1">
      <c r="A21" s="218"/>
      <c r="B21" s="212"/>
      <c r="C21" s="213"/>
      <c r="D21" s="214"/>
      <c r="E21" s="215">
        <f>IF(D21="Pago",B21,)</f>
        <v>0</v>
      </c>
      <c r="F21" s="216"/>
      <c r="G21" s="217"/>
      <c r="H21" s="35"/>
      <c r="I21" s="87"/>
      <c r="K21" s="37"/>
    </row>
    <row r="22" spans="1:11" s="9" customFormat="1">
      <c r="A22" s="211"/>
      <c r="B22" s="212"/>
      <c r="C22" s="213"/>
      <c r="D22" s="214"/>
      <c r="E22" s="215">
        <f>IF(D22="Pago",B22,)</f>
        <v>0</v>
      </c>
      <c r="F22" s="216"/>
      <c r="G22" s="217"/>
      <c r="H22" s="35"/>
      <c r="I22" s="87"/>
      <c r="K22" s="37"/>
    </row>
    <row r="23" spans="1:11" s="9" customFormat="1">
      <c r="A23" s="218"/>
      <c r="B23" s="212"/>
      <c r="C23" s="213"/>
      <c r="D23" s="214"/>
      <c r="E23" s="215"/>
      <c r="F23" s="216"/>
      <c r="G23" s="217"/>
      <c r="H23" s="35"/>
      <c r="I23" s="87"/>
      <c r="K23" s="37"/>
    </row>
    <row r="24" spans="1:11" s="12" customFormat="1" ht="21" thickBot="1">
      <c r="A24" s="49" t="s">
        <v>49</v>
      </c>
      <c r="B24" s="174">
        <f>B26-B25</f>
        <v>523733.39</v>
      </c>
      <c r="C24" s="296"/>
      <c r="D24" s="297"/>
      <c r="E24" s="297"/>
      <c r="F24" s="297"/>
      <c r="G24" s="298"/>
      <c r="H24" s="175"/>
      <c r="I24" s="89"/>
      <c r="J24" s="29"/>
      <c r="K24" s="68"/>
    </row>
    <row r="25" spans="1:11" ht="21" thickBot="1">
      <c r="A25" s="48" t="s">
        <v>30</v>
      </c>
      <c r="B25" s="50">
        <f>SUM(E4:E23)</f>
        <v>0</v>
      </c>
      <c r="C25" s="299"/>
      <c r="D25" s="300"/>
      <c r="E25" s="300"/>
      <c r="F25" s="300"/>
      <c r="G25" s="301"/>
      <c r="H25" s="175"/>
      <c r="I25" s="86"/>
      <c r="J25" s="6"/>
      <c r="K25" s="34"/>
    </row>
    <row r="26" spans="1:11" ht="18.600000000000001" thickBot="1">
      <c r="A26" s="49" t="s">
        <v>48</v>
      </c>
      <c r="B26" s="51">
        <f>SUM(B4:B23)</f>
        <v>523733.39</v>
      </c>
      <c r="C26" s="302"/>
      <c r="D26" s="303"/>
      <c r="E26" s="303"/>
      <c r="F26" s="303"/>
      <c r="G26" s="304"/>
      <c r="H26" s="70"/>
      <c r="I26" s="71"/>
      <c r="J26" s="72"/>
      <c r="K26" s="73"/>
    </row>
    <row r="27" spans="1:11">
      <c r="B27" s="176"/>
      <c r="C27" s="177"/>
    </row>
    <row r="28" spans="1:11" ht="18.600000000000001" thickBot="1">
      <c r="E28" s="13"/>
      <c r="F28" s="25"/>
    </row>
    <row r="29" spans="1:11" ht="18.600000000000001" thickBot="1">
      <c r="A29" s="55" t="s">
        <v>35</v>
      </c>
      <c r="B29" s="54" t="s">
        <v>27</v>
      </c>
      <c r="C29" s="56" t="s">
        <v>26</v>
      </c>
    </row>
    <row r="30" spans="1:11">
      <c r="A30" s="60" t="s">
        <v>22</v>
      </c>
      <c r="B30" s="62">
        <f>SUMIFS(B4:B23, F4:F23, "BIM", D4:D23, "&lt;&gt;Pago")</f>
        <v>0</v>
      </c>
      <c r="C30" s="57">
        <f>SUMIFS(B4:B23, F4:F23, "BIM", D4:D23, "Pago")</f>
        <v>0</v>
      </c>
    </row>
    <row r="31" spans="1:11">
      <c r="A31" s="61" t="s">
        <v>36</v>
      </c>
      <c r="B31" s="63">
        <f>SUMIFS(B4:B23, F4:F23, "BIM C", D4:D23, "&lt;&gt;Pago")</f>
        <v>35500</v>
      </c>
      <c r="C31" s="58">
        <f>SUMIFS(B4:B23, F4:F23, "BIM C", D4:D23, "Pago")</f>
        <v>0</v>
      </c>
    </row>
    <row r="32" spans="1:11" ht="18.600000000000001" thickBot="1">
      <c r="A32" s="61" t="s">
        <v>33</v>
      </c>
      <c r="B32" s="64">
        <f>SUMIFS(B4:B23, F4:F23, "STB", D4:D23, "&lt;&gt;Pago")</f>
        <v>480005.24</v>
      </c>
      <c r="C32" s="59">
        <f>SUMIFS(B4:B23, F4:F23, "STB", D4:D23, "Pago")</f>
        <v>0</v>
      </c>
    </row>
    <row r="33" spans="1:3" ht="18.600000000000001" thickBot="1">
      <c r="A33" s="52" t="s">
        <v>38</v>
      </c>
      <c r="B33" s="53">
        <f>SUM(B30:B31)</f>
        <v>35500</v>
      </c>
      <c r="C33" s="21"/>
    </row>
    <row r="34" spans="1:3">
      <c r="C34" s="21"/>
    </row>
    <row r="35" spans="1:3">
      <c r="C35" s="21"/>
    </row>
    <row r="36" spans="1:3">
      <c r="C36" s="21"/>
    </row>
    <row r="37" spans="1:3">
      <c r="C37" s="21"/>
    </row>
    <row r="38" spans="1:3">
      <c r="C38" s="21"/>
    </row>
    <row r="39" spans="1:3">
      <c r="C39" s="21"/>
    </row>
    <row r="40" spans="1:3">
      <c r="C40" s="21"/>
    </row>
    <row r="41" spans="1:3">
      <c r="C41" s="21"/>
    </row>
    <row r="42" spans="1:3">
      <c r="C42" s="21"/>
    </row>
    <row r="43" spans="1:3">
      <c r="C43" s="21"/>
    </row>
    <row r="44" spans="1:3">
      <c r="C44" s="21"/>
    </row>
    <row r="45" spans="1:3">
      <c r="C45" s="21"/>
    </row>
    <row r="46" spans="1:3">
      <c r="C46" s="21"/>
    </row>
  </sheetData>
  <mergeCells count="3">
    <mergeCell ref="A2:G2"/>
    <mergeCell ref="I3:J3"/>
    <mergeCell ref="C24:G26"/>
  </mergeCell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4" operator="containsText" id="{7B6BA2A3-B6CC-40D0-ACAA-1EB5CEAE0197}">
            <xm:f>NOT(ISERROR(SEARCH(Config!$B$8,D4)))</xm:f>
            <xm:f>Config!$B$8</xm:f>
            <x14:dxf>
              <fill>
                <patternFill>
                  <bgColor theme="9" tint="0.79998168889431442"/>
                </patternFill>
              </fill>
            </x14:dxf>
          </x14:cfRule>
          <x14:cfRule type="containsText" priority="65" operator="containsText" id="{E03DECD9-1E71-4340-9B16-64867CA685CE}">
            <xm:f>NOT(ISERROR(SEARCH(Config!$B$4,D4)))</xm:f>
            <xm:f>Config!$B$4</xm:f>
            <x14:dxf>
              <fill>
                <patternFill>
                  <bgColor theme="9"/>
                </patternFill>
              </fill>
            </x14:dxf>
          </x14:cfRule>
          <x14:cfRule type="containsText" priority="66" operator="containsText" id="{83E830BC-8F6C-4C0F-BE3E-F777ACB6775E}">
            <xm:f>NOT(ISERROR(SEARCH(Config!$B$7,D4)))</xm:f>
            <xm:f>Config!$B$7</xm:f>
            <x14:dxf>
              <fill>
                <patternFill>
                  <bgColor theme="7" tint="0.39994506668294322"/>
                </patternFill>
              </fill>
            </x14:dxf>
          </x14:cfRule>
          <xm:sqref>D4:D15 D18:D23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ABD99D2-1299-4067-BFB4-48B2A09884C7}">
          <x14:formula1>
            <xm:f>Config!$D$3:$D$5</xm:f>
          </x14:formula1>
          <xm:sqref>F4:F15 F18:F23</xm:sqref>
        </x14:dataValidation>
        <x14:dataValidation type="list" allowBlank="1" showInputMessage="1" showErrorMessage="1" errorTitle="Prioridade Invalida" error="Escolha prioridades da lista" promptTitle="Introduza a Prioridade" xr:uid="{13AF2F18-3B00-4A04-A940-97950C162C67}">
          <x14:formula1>
            <xm:f>Config!$C$3:$C$7</xm:f>
          </x14:formula1>
          <xm:sqref>C4:C15 C18:C23</xm:sqref>
        </x14:dataValidation>
        <x14:dataValidation type="list" allowBlank="1" showInputMessage="1" showErrorMessage="1" errorTitle="Selecione apenas da lsitaLista" promptTitle="Selecione da Lista" xr:uid="{0E93D731-BF42-48CC-B8C9-CE99CB527A27}">
          <x14:formula1>
            <xm:f>Config!$B$3:$B$10</xm:f>
          </x14:formula1>
          <xm:sqref>D4:D15 D18:D23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DCF60-A055-4676-91EC-A193F27B6C47}">
  <dimension ref="B2:D10"/>
  <sheetViews>
    <sheetView zoomScale="175" zoomScaleNormal="175" workbookViewId="0">
      <selection activeCell="F5" sqref="F5"/>
    </sheetView>
  </sheetViews>
  <sheetFormatPr defaultRowHeight="14.4"/>
  <cols>
    <col min="2" max="2" width="15.21875" customWidth="1"/>
  </cols>
  <sheetData>
    <row r="2" spans="2:4">
      <c r="B2" t="s">
        <v>8</v>
      </c>
      <c r="C2" t="s">
        <v>25</v>
      </c>
      <c r="D2" t="s">
        <v>37</v>
      </c>
    </row>
    <row r="3" spans="2:4">
      <c r="D3" s="1" t="s">
        <v>33</v>
      </c>
    </row>
    <row r="4" spans="2:4">
      <c r="B4" s="15" t="s">
        <v>26</v>
      </c>
      <c r="C4">
        <v>1</v>
      </c>
      <c r="D4" s="2" t="s">
        <v>36</v>
      </c>
    </row>
    <row r="5" spans="2:4">
      <c r="B5" s="268" t="s">
        <v>204</v>
      </c>
      <c r="C5">
        <v>2</v>
      </c>
      <c r="D5" s="1" t="s">
        <v>22</v>
      </c>
    </row>
    <row r="6" spans="2:4">
      <c r="B6" s="92" t="s">
        <v>57</v>
      </c>
      <c r="C6">
        <v>3</v>
      </c>
    </row>
    <row r="7" spans="2:4">
      <c r="B7" s="16" t="s">
        <v>27</v>
      </c>
      <c r="C7">
        <v>4</v>
      </c>
    </row>
    <row r="8" spans="2:4">
      <c r="B8" s="23" t="s">
        <v>41</v>
      </c>
    </row>
    <row r="9" spans="2:4">
      <c r="B9" s="17" t="s">
        <v>28</v>
      </c>
    </row>
    <row r="10" spans="2:4">
      <c r="B10" s="93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B1C56-57A9-4299-A790-AEAD5B4FFD18}">
  <dimension ref="A1:K34"/>
  <sheetViews>
    <sheetView workbookViewId="0">
      <selection activeCell="D10" sqref="D10"/>
    </sheetView>
  </sheetViews>
  <sheetFormatPr defaultRowHeight="18"/>
  <cols>
    <col min="1" max="1" width="42.88671875" style="3" customWidth="1"/>
    <col min="2" max="2" width="21.5546875" style="3" customWidth="1"/>
    <col min="3" max="3" width="17.5546875" style="3" bestFit="1" customWidth="1"/>
    <col min="4" max="4" width="16.6640625" style="3" bestFit="1" customWidth="1"/>
    <col min="5" max="5" width="0" style="3" hidden="1" customWidth="1"/>
    <col min="6" max="6" width="18.88671875" style="3" customWidth="1"/>
    <col min="7" max="7" width="70.21875" style="3" customWidth="1"/>
    <col min="8" max="8" width="5.44140625" style="3" customWidth="1"/>
    <col min="9" max="9" width="17" style="21" customWidth="1"/>
    <col min="10" max="10" width="30.77734375" style="3" customWidth="1"/>
    <col min="11" max="11" width="41" style="3" customWidth="1"/>
    <col min="12" max="16384" width="8.88671875" style="3"/>
  </cols>
  <sheetData>
    <row r="1" spans="1:11" ht="18.600000000000001" thickBot="1">
      <c r="A1" s="3" t="s">
        <v>10</v>
      </c>
    </row>
    <row r="2" spans="1:11" ht="18.600000000000001" thickBot="1">
      <c r="A2" s="292" t="s">
        <v>130</v>
      </c>
      <c r="B2" s="293"/>
      <c r="C2" s="293"/>
      <c r="D2" s="293"/>
      <c r="E2" s="293"/>
      <c r="F2" s="293"/>
      <c r="G2" s="294"/>
      <c r="H2" s="28"/>
    </row>
    <row r="3" spans="1:11" ht="18.600000000000001" thickBot="1">
      <c r="A3" s="82" t="s">
        <v>2</v>
      </c>
      <c r="B3" s="83" t="s">
        <v>3</v>
      </c>
      <c r="C3" s="83" t="s">
        <v>25</v>
      </c>
      <c r="D3" s="83" t="s">
        <v>8</v>
      </c>
      <c r="E3" s="83" t="s">
        <v>50</v>
      </c>
      <c r="F3" s="83" t="s">
        <v>34</v>
      </c>
      <c r="G3" s="84" t="s">
        <v>9</v>
      </c>
      <c r="H3" s="74"/>
      <c r="I3" s="295" t="s">
        <v>46</v>
      </c>
      <c r="J3" s="295"/>
      <c r="K3" s="75"/>
    </row>
    <row r="4" spans="1:11" s="9" customFormat="1">
      <c r="A4" s="6" t="s">
        <v>118</v>
      </c>
      <c r="B4" s="11">
        <v>135446</v>
      </c>
      <c r="C4" s="22"/>
      <c r="D4" s="19"/>
      <c r="E4" s="10">
        <f t="shared" ref="E4:E10" si="0">IF(D4="Pago",B4,)</f>
        <v>0</v>
      </c>
      <c r="F4" s="7" t="s">
        <v>33</v>
      </c>
      <c r="G4" s="31"/>
      <c r="H4" s="35"/>
      <c r="I4" s="87"/>
      <c r="K4" s="37"/>
    </row>
    <row r="5" spans="1:11" s="9" customFormat="1">
      <c r="A5" s="78" t="s">
        <v>203</v>
      </c>
      <c r="B5" s="11">
        <v>140000</v>
      </c>
      <c r="C5" s="22"/>
      <c r="D5" s="19"/>
      <c r="E5" s="10">
        <f>IF(D5="Pago",B5,)</f>
        <v>0</v>
      </c>
      <c r="F5" s="7"/>
      <c r="G5" s="31"/>
      <c r="H5" s="35"/>
      <c r="I5" s="87"/>
      <c r="K5" s="37"/>
    </row>
    <row r="6" spans="1:11" s="9" customFormat="1">
      <c r="A6" s="3" t="s">
        <v>117</v>
      </c>
      <c r="B6" s="11">
        <f>137150-20700</f>
        <v>116450</v>
      </c>
      <c r="C6" s="22"/>
      <c r="D6" s="19"/>
      <c r="E6" s="10">
        <f t="shared" si="0"/>
        <v>0</v>
      </c>
      <c r="F6" s="7" t="s">
        <v>33</v>
      </c>
      <c r="G6" s="31"/>
      <c r="H6" s="35"/>
      <c r="I6" s="87"/>
      <c r="K6" s="37"/>
    </row>
    <row r="7" spans="1:11" s="9" customFormat="1" hidden="1">
      <c r="A7" s="78" t="s">
        <v>64</v>
      </c>
      <c r="B7" s="11">
        <f>23000*2</f>
        <v>46000</v>
      </c>
      <c r="C7" s="22"/>
      <c r="D7" s="19" t="s">
        <v>26</v>
      </c>
      <c r="E7" s="10">
        <f t="shared" si="0"/>
        <v>46000</v>
      </c>
      <c r="F7" s="4" t="s">
        <v>33</v>
      </c>
      <c r="G7" s="171" t="s">
        <v>85</v>
      </c>
      <c r="H7" s="35"/>
      <c r="I7" s="87"/>
      <c r="K7" s="37"/>
    </row>
    <row r="8" spans="1:11" s="9" customFormat="1" hidden="1">
      <c r="A8" s="78" t="s">
        <v>63</v>
      </c>
      <c r="B8" s="11">
        <f>6900*6</f>
        <v>41400</v>
      </c>
      <c r="C8" s="22"/>
      <c r="D8" s="19" t="s">
        <v>26</v>
      </c>
      <c r="E8" s="10">
        <f t="shared" si="0"/>
        <v>41400</v>
      </c>
      <c r="F8" s="4" t="s">
        <v>33</v>
      </c>
      <c r="G8" s="171" t="s">
        <v>86</v>
      </c>
      <c r="H8" s="35"/>
      <c r="I8" s="87"/>
      <c r="K8" s="37"/>
    </row>
    <row r="9" spans="1:11" s="9" customFormat="1">
      <c r="A9" s="78" t="s">
        <v>214</v>
      </c>
      <c r="B9" s="11">
        <v>7000</v>
      </c>
      <c r="C9" s="22"/>
      <c r="D9" s="44"/>
      <c r="E9" s="10">
        <f>IF(D9="Pago",B9,)</f>
        <v>0</v>
      </c>
      <c r="F9" s="7"/>
      <c r="G9" s="281"/>
      <c r="H9" s="35"/>
      <c r="I9" s="87"/>
      <c r="K9" s="37"/>
    </row>
    <row r="10" spans="1:11" s="9" customFormat="1">
      <c r="A10" s="79" t="s">
        <v>88</v>
      </c>
      <c r="B10" s="47">
        <v>22272</v>
      </c>
      <c r="C10" s="14"/>
      <c r="D10" s="44"/>
      <c r="E10" s="45">
        <f t="shared" si="0"/>
        <v>0</v>
      </c>
      <c r="F10" s="42" t="s">
        <v>33</v>
      </c>
      <c r="G10" s="172" t="s">
        <v>89</v>
      </c>
      <c r="H10" s="35"/>
      <c r="I10" s="87"/>
      <c r="K10" s="37"/>
    </row>
    <row r="11" spans="1:11" s="4" customFormat="1">
      <c r="A11" s="4" t="s">
        <v>91</v>
      </c>
      <c r="B11" s="47">
        <v>26517.17</v>
      </c>
      <c r="F11" s="4" t="s">
        <v>33</v>
      </c>
      <c r="G11" s="173" t="s">
        <v>90</v>
      </c>
      <c r="I11" s="5"/>
    </row>
    <row r="12" spans="1:11" s="12" customFormat="1" ht="21" thickBot="1">
      <c r="A12" s="49" t="s">
        <v>49</v>
      </c>
      <c r="B12" s="174">
        <f>B14-B13</f>
        <v>421168</v>
      </c>
      <c r="C12" s="296"/>
      <c r="D12" s="297"/>
      <c r="E12" s="297"/>
      <c r="F12" s="297"/>
      <c r="G12" s="298"/>
      <c r="H12" s="175"/>
      <c r="I12" s="89"/>
      <c r="J12" s="29"/>
      <c r="K12" s="68"/>
    </row>
    <row r="13" spans="1:11" ht="21" thickBot="1">
      <c r="A13" s="48" t="s">
        <v>30</v>
      </c>
      <c r="B13" s="50">
        <f>SUM(E4:E10)</f>
        <v>87400</v>
      </c>
      <c r="C13" s="299"/>
      <c r="D13" s="300"/>
      <c r="E13" s="300"/>
      <c r="F13" s="300"/>
      <c r="G13" s="301"/>
      <c r="H13" s="175"/>
      <c r="I13" s="86"/>
      <c r="J13" s="6"/>
      <c r="K13" s="34"/>
    </row>
    <row r="14" spans="1:11" ht="18.600000000000001" thickBot="1">
      <c r="A14" s="49" t="s">
        <v>48</v>
      </c>
      <c r="B14" s="51">
        <f>SUM(B4:B10)</f>
        <v>508568</v>
      </c>
      <c r="C14" s="302"/>
      <c r="D14" s="303"/>
      <c r="E14" s="303"/>
      <c r="F14" s="303"/>
      <c r="G14" s="304"/>
      <c r="H14" s="70"/>
      <c r="I14" s="71"/>
      <c r="J14" s="72"/>
      <c r="K14" s="73"/>
    </row>
    <row r="15" spans="1:11">
      <c r="B15" s="176"/>
      <c r="C15" s="177"/>
    </row>
    <row r="16" spans="1:11" ht="18.600000000000001" thickBot="1">
      <c r="E16" s="13"/>
      <c r="F16" s="25"/>
    </row>
    <row r="17" spans="1:3" ht="18.600000000000001" thickBot="1">
      <c r="A17" s="55" t="s">
        <v>35</v>
      </c>
      <c r="B17" s="54" t="s">
        <v>27</v>
      </c>
      <c r="C17" s="56" t="s">
        <v>26</v>
      </c>
    </row>
    <row r="18" spans="1:3">
      <c r="A18" s="60" t="s">
        <v>22</v>
      </c>
      <c r="B18" s="62">
        <f>SUMIFS(B4:B10, F4:F10, "BIM", D4:D10, "&lt;&gt;Pago")</f>
        <v>0</v>
      </c>
      <c r="C18" s="57">
        <f>SUMIFS(B4:B10, F4:F10, "BIM", D4:D10, "Pago")</f>
        <v>0</v>
      </c>
    </row>
    <row r="19" spans="1:3">
      <c r="A19" s="61" t="s">
        <v>36</v>
      </c>
      <c r="B19" s="63">
        <f>SUMIFS(B4:B10, F4:F10, "BIM C", D4:D10, "&lt;&gt;Pago")</f>
        <v>0</v>
      </c>
      <c r="C19" s="58">
        <f>SUMIFS(B4:B10, F4:F10, "BIM C", D4:D10, "Pago")</f>
        <v>0</v>
      </c>
    </row>
    <row r="20" spans="1:3" ht="18.600000000000001" thickBot="1">
      <c r="A20" s="61" t="s">
        <v>33</v>
      </c>
      <c r="B20" s="64">
        <f>SUMIFS(B4:B10, F4:F10, "STB", D4:D10, "&lt;&gt;Pago")</f>
        <v>274168</v>
      </c>
      <c r="C20" s="59">
        <f>SUMIFS(B4:B10, F4:F10, "STB", D4:D10, "Pago")</f>
        <v>87400</v>
      </c>
    </row>
    <row r="21" spans="1:3" ht="18.600000000000001" thickBot="1">
      <c r="A21" s="52" t="s">
        <v>38</v>
      </c>
      <c r="B21" s="53">
        <f>SUM(B18:B19)</f>
        <v>0</v>
      </c>
      <c r="C21" s="21"/>
    </row>
    <row r="22" spans="1:3">
      <c r="C22" s="21"/>
    </row>
    <row r="23" spans="1:3">
      <c r="C23" s="21"/>
    </row>
    <row r="24" spans="1:3">
      <c r="C24" s="21"/>
    </row>
    <row r="25" spans="1:3">
      <c r="C25" s="21"/>
    </row>
    <row r="26" spans="1:3">
      <c r="C26" s="21"/>
    </row>
    <row r="27" spans="1:3">
      <c r="C27" s="21"/>
    </row>
    <row r="28" spans="1:3">
      <c r="C28" s="21"/>
    </row>
    <row r="29" spans="1:3">
      <c r="C29" s="21"/>
    </row>
    <row r="30" spans="1:3">
      <c r="C30" s="21"/>
    </row>
    <row r="31" spans="1:3">
      <c r="C31" s="21"/>
    </row>
    <row r="32" spans="1:3">
      <c r="C32" s="21"/>
    </row>
    <row r="33" spans="3:3">
      <c r="C33" s="21"/>
    </row>
    <row r="34" spans="3:3">
      <c r="C34" s="21"/>
    </row>
  </sheetData>
  <mergeCells count="3">
    <mergeCell ref="A2:G2"/>
    <mergeCell ref="I3:J3"/>
    <mergeCell ref="C12:G14"/>
  </mergeCells>
  <hyperlinks>
    <hyperlink ref="G7" r:id="rId1" display="https://erp.entretech.co.mz/app/purchase-order/PUR-ORD-2026-00004" xr:uid="{20025D41-8B17-4524-B80A-0D9EDD069D92}"/>
    <hyperlink ref="G8" r:id="rId2" display="https://erp.entretech.co.mz/app/purchase-order/PUR-ORD-2026-00005" xr:uid="{5BF15A9E-E6A1-4CFB-A7E9-C9859855A980}"/>
    <hyperlink ref="G10" r:id="rId3" display="https://erp.entretech.co.mz/app/purchase-order/PUR-ORD-2026-00006" xr:uid="{0A065D48-414F-418B-B708-63A98215E9D3}"/>
    <hyperlink ref="G11" r:id="rId4" display="https://erp.entretech.co.mz/app/purchase-order/PUR-ORD-2026-00007" xr:uid="{293E758E-688E-446F-BC42-E5D37B9D6A21}"/>
  </hyperlinks>
  <pageMargins left="0.7" right="0.7" top="0.75" bottom="0.75" header="0.3" footer="0.3"/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0" operator="containsText" id="{E1E5142B-68F6-44FC-A28C-51B3F5DADF41}">
            <xm:f>NOT(ISERROR(SEARCH(Config!$B$8,D4)))</xm:f>
            <xm:f>Config!$B$8</xm:f>
            <x14:dxf>
              <fill>
                <patternFill>
                  <bgColor theme="9" tint="0.79998168889431442"/>
                </patternFill>
              </fill>
            </x14:dxf>
          </x14:cfRule>
          <x14:cfRule type="containsText" priority="71" operator="containsText" id="{0194E8A8-7563-4C8A-BB6E-14287B16DB7C}">
            <xm:f>NOT(ISERROR(SEARCH(Config!$B$4,D4)))</xm:f>
            <xm:f>Config!$B$4</xm:f>
            <x14:dxf>
              <fill>
                <patternFill>
                  <bgColor theme="9"/>
                </patternFill>
              </fill>
            </x14:dxf>
          </x14:cfRule>
          <x14:cfRule type="containsText" priority="72" operator="containsText" id="{B25DA8B0-160C-4872-B01C-D1DEF381560E}">
            <xm:f>NOT(ISERROR(SEARCH(Config!$B$7,D4)))</xm:f>
            <xm:f>Config!$B$7</xm:f>
            <x14:dxf>
              <fill>
                <patternFill>
                  <bgColor theme="7" tint="0.39994506668294322"/>
                </patternFill>
              </fill>
            </x14:dxf>
          </x14:cfRule>
          <xm:sqref>D4:D10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Prioridade Invalida" error="Escolha prioridades da lista" promptTitle="Introduza a Prioridade" xr:uid="{08099F56-31A3-4559-B713-E4A64803AE13}">
          <x14:formula1>
            <xm:f>Config!$C$3:$C$7</xm:f>
          </x14:formula1>
          <xm:sqref>C4:C10</xm:sqref>
        </x14:dataValidation>
        <x14:dataValidation type="list" allowBlank="1" showInputMessage="1" showErrorMessage="1" xr:uid="{1FB24CC3-2558-4074-890C-5525A09298E3}">
          <x14:formula1>
            <xm:f>Config!$D$3:$D$5</xm:f>
          </x14:formula1>
          <xm:sqref>F4:F11</xm:sqref>
        </x14:dataValidation>
        <x14:dataValidation type="list" allowBlank="1" showInputMessage="1" showErrorMessage="1" errorTitle="Selecione apenas da lsitaLista" promptTitle="Selecione da Lista" xr:uid="{441AA148-76F7-4636-9E26-465FA974A0A2}">
          <x14:formula1>
            <xm:f>Config!$B$3:$B$10</xm:f>
          </x14:formula1>
          <xm:sqref>D4:D10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996F211AE4C84496D221C0601B28DF" ma:contentTypeVersion="15" ma:contentTypeDescription="Create a new document." ma:contentTypeScope="" ma:versionID="ee6fcbe914c355fa34e273163cce0c8a">
  <xsd:schema xmlns:xsd="http://www.w3.org/2001/XMLSchema" xmlns:xs="http://www.w3.org/2001/XMLSchema" xmlns:p="http://schemas.microsoft.com/office/2006/metadata/properties" xmlns:ns2="b641f64f-34d0-491f-bb51-f53b1949b02a" xmlns:ns3="5d813a94-df31-4620-af9e-ed54502d829c" targetNamespace="http://schemas.microsoft.com/office/2006/metadata/properties" ma:root="true" ma:fieldsID="c76c10c6b65c572f14daa0590c2f967c" ns2:_="" ns3:_="">
    <xsd:import namespace="b641f64f-34d0-491f-bb51-f53b1949b02a"/>
    <xsd:import namespace="5d813a94-df31-4620-af9e-ed54502d82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1f64f-34d0-491f-bb51-f53b1949b0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5c946e0-d10d-464b-8133-11468c5b26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13a94-df31-4620-af9e-ed54502d829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4d7c004-06c2-4f57-860d-e5f2b344c5e2}" ma:internalName="TaxCatchAll" ma:showField="CatchAllData" ma:web="5d813a94-df31-4620-af9e-ed54502d82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813a94-df31-4620-af9e-ed54502d829c" xsi:nil="true"/>
    <lcf76f155ced4ddcb4097134ff3c332f xmlns="b641f64f-34d0-491f-bb51-f53b1949b0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C2DBF0-E261-4C3A-829B-1170544CD7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1f64f-34d0-491f-bb51-f53b1949b02a"/>
    <ds:schemaRef ds:uri="5d813a94-df31-4620-af9e-ed54502d82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17F91B-A1F4-4E9D-A57E-ABFC1239AF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CF2B8D-E39A-48CC-AD61-344B32BDCEC3}">
  <ds:schemaRefs>
    <ds:schemaRef ds:uri="http://schemas.microsoft.com/office/2006/metadata/properties"/>
    <ds:schemaRef ds:uri="http://schemas.microsoft.com/office/infopath/2007/PartnerControls"/>
    <ds:schemaRef ds:uri="5d813a94-df31-4620-af9e-ed54502d829c"/>
    <ds:schemaRef ds:uri="b641f64f-34d0-491f-bb51-f53b1949b02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Marco</vt:lpstr>
      <vt:lpstr>Abril</vt:lpstr>
      <vt:lpstr>Maio</vt:lpstr>
      <vt:lpstr>Junho</vt:lpstr>
      <vt:lpstr>Julho</vt:lpstr>
      <vt:lpstr>Agosto</vt:lpstr>
      <vt:lpstr>Setembroo</vt:lpstr>
      <vt:lpstr>Outubro</vt:lpstr>
      <vt:lpstr>Config</vt:lpstr>
      <vt:lpstr>Investimentos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Machava</dc:creator>
  <cp:lastModifiedBy>Dércio Bobo</cp:lastModifiedBy>
  <cp:lastPrinted>2026-06-23T16:15:05Z</cp:lastPrinted>
  <dcterms:created xsi:type="dcterms:W3CDTF">2015-06-05T18:17:20Z</dcterms:created>
  <dcterms:modified xsi:type="dcterms:W3CDTF">2026-09-24T20:28:11Z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0x010100B6996F211AE4C84496D221C0601B28DF</vt:lpwstr>
  </property>
  <property fmtid="{D5CDD505-2E9C-101B-9397-08002B2CF9AE}" pid="3" name="MediaServiceImageTags">
    <vt:lpwstr/>
  </property>
  <property fmtid="{D5CDD505-2E9C-101B-9397-08002B2CF9AE}" pid="4" name="WorkbookGuid">
    <vt:lpwstr>a8c805cc-26c0-4fd0-b29b-aa813871a316</vt:lpwstr>
  </property>
</Properties>
</file>